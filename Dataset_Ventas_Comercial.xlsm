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PracticasDesarrolloWEB\curso\COLSUBSIDIO\EXCEL_POWER_BI\ACTIVIDAD 5\"/>
    </mc:Choice>
  </mc:AlternateContent>
  <xr:revisionPtr revIDLastSave="0" documentId="13_ncr:1_{78C38118-D4A4-409E-A4D4-CD62629EB7A0}" xr6:coauthVersionLast="47" xr6:coauthVersionMax="47" xr10:uidLastSave="{00000000-0000-0000-0000-000000000000}"/>
  <bookViews>
    <workbookView xWindow="-120" yWindow="-120" windowWidth="20730" windowHeight="11040" tabRatio="723" firstSheet="1" activeTab="1" xr2:uid="{53161D62-E474-47B4-963D-F39632A73348}"/>
  </bookViews>
  <sheets>
    <sheet name="Ejercicio Macros" sheetId="7" r:id="rId1"/>
    <sheet name="Ventas" sheetId="8" r:id="rId2"/>
    <sheet name="TABLA_DINAMICA" sheetId="10" r:id="rId3"/>
    <sheet name="SL" sheetId="6" r:id="rId4"/>
    <sheet name="Ejercicio dash" sheetId="9" r:id="rId5"/>
    <sheet name="Clientes" sheetId="1" r:id="rId6"/>
    <sheet name="Productos" sheetId="2" r:id="rId7"/>
    <sheet name="Venta" sheetId="3" r:id="rId8"/>
    <sheet name="Vendedor" sheetId="4" r:id="rId9"/>
    <sheet name="Proveedores" sheetId="5" r:id="rId10"/>
  </sheets>
  <definedNames>
    <definedName name="_xlnm._FilterDatabase" localSheetId="5" hidden="1">Clientes!$A$1:$G$1</definedName>
    <definedName name="_xlnm._FilterDatabase" localSheetId="6" hidden="1">Productos!$A$1:$G$21</definedName>
    <definedName name="_xlnm._FilterDatabase" localSheetId="7" hidden="1">Venta!$A$1:$H$1</definedName>
    <definedName name="_xlnm._FilterDatabase" localSheetId="1" hidden="1">Ventas!$A$1:$J$301</definedName>
    <definedName name="_xlnm.Extract" localSheetId="1">Ventas!$M$12:$V$12</definedName>
    <definedName name="_xlnm.Criteria" localSheetId="1">Ventas!$M$8:$M$9</definedName>
    <definedName name="solver_adj" localSheetId="3" hidden="1">SL!$C$4:$C$18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SL!$C$17</definedName>
    <definedName name="solver_lhs2" localSheetId="3" hidden="1">SL!$C$18</definedName>
    <definedName name="solver_lhs3" localSheetId="3" hidden="1">SL!$C$4:$C$18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3</definedName>
    <definedName name="solver_nwt" localSheetId="3" hidden="1">1</definedName>
    <definedName name="solver_opt" localSheetId="3" hidden="1">SL!$E$20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1</definedName>
    <definedName name="solver_rel3" localSheetId="3" hidden="1">4</definedName>
    <definedName name="solver_rhs1" localSheetId="3" hidden="1">30</definedName>
    <definedName name="solver_rhs2" localSheetId="3" hidden="1">50</definedName>
    <definedName name="solver_rhs3" localSheetId="3" hidden="1">"entero"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9500000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6" l="1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20" i="6" l="1"/>
</calcChain>
</file>

<file path=xl/sharedStrings.xml><?xml version="1.0" encoding="utf-8"?>
<sst xmlns="http://schemas.openxmlformats.org/spreadsheetml/2006/main" count="2241" uniqueCount="339">
  <si>
    <t>ClienteID</t>
  </si>
  <si>
    <t>Nombre</t>
  </si>
  <si>
    <t>Ciudad</t>
  </si>
  <si>
    <t>Estado</t>
  </si>
  <si>
    <t>País</t>
  </si>
  <si>
    <t>Segmento</t>
  </si>
  <si>
    <t>FechaRegistro</t>
  </si>
  <si>
    <t>Juan Pérez Martínez</t>
  </si>
  <si>
    <t>Guadalajara</t>
  </si>
  <si>
    <t>Jalisco</t>
  </si>
  <si>
    <t>México</t>
  </si>
  <si>
    <t>Corporativo</t>
  </si>
  <si>
    <t>María García López</t>
  </si>
  <si>
    <t>Monterrey</t>
  </si>
  <si>
    <t>Nuevo León</t>
  </si>
  <si>
    <t>Retail</t>
  </si>
  <si>
    <t>Tech Solutions SA</t>
  </si>
  <si>
    <t>Ciudad de México</t>
  </si>
  <si>
    <t>CDMX</t>
  </si>
  <si>
    <t>Ana Rodríguez Vargas</t>
  </si>
  <si>
    <t>Puebla</t>
  </si>
  <si>
    <t>Pequeña Empresa</t>
  </si>
  <si>
    <t>Carlos Sánchez Ruíz</t>
  </si>
  <si>
    <t>Tijuana</t>
  </si>
  <si>
    <t>Baja California</t>
  </si>
  <si>
    <t>Distribuidora Norte</t>
  </si>
  <si>
    <t>Chihuahua</t>
  </si>
  <si>
    <t>Distribuidor</t>
  </si>
  <si>
    <t>Laura Fernández Castro</t>
  </si>
  <si>
    <t>Mérida</t>
  </si>
  <si>
    <t>Yucatán</t>
  </si>
  <si>
    <t>Roberto Jiménez Torres</t>
  </si>
  <si>
    <t>León</t>
  </si>
  <si>
    <t>Guanajuato</t>
  </si>
  <si>
    <t>Innovación Digital</t>
  </si>
  <si>
    <t>Querétaro</t>
  </si>
  <si>
    <t>Startup</t>
  </si>
  <si>
    <t>Patricia Morales Soto</t>
  </si>
  <si>
    <t>Veracruz</t>
  </si>
  <si>
    <t>Eduardo Castro Reyes</t>
  </si>
  <si>
    <t>Cancún</t>
  </si>
  <si>
    <t>Quintana Roo</t>
  </si>
  <si>
    <t>Tiendas del Sur</t>
  </si>
  <si>
    <t>Oaxaca</t>
  </si>
  <si>
    <t>Sistemas Avanzados</t>
  </si>
  <si>
    <t>San Luis Potosí</t>
  </si>
  <si>
    <t>SLP</t>
  </si>
  <si>
    <t>Carmen Vega Díaz</t>
  </si>
  <si>
    <t>Aguascalientes</t>
  </si>
  <si>
    <t>Logística Integral</t>
  </si>
  <si>
    <t>Saltillo</t>
  </si>
  <si>
    <t>Coahuila</t>
  </si>
  <si>
    <t>Miguel Ángel Herrera</t>
  </si>
  <si>
    <t>Morelia</t>
  </si>
  <si>
    <t>Michoacán</t>
  </si>
  <si>
    <t>Consultoría Estratégica</t>
  </si>
  <si>
    <t>Toluca</t>
  </si>
  <si>
    <t>Estado de México</t>
  </si>
  <si>
    <t>Dulces y Más</t>
  </si>
  <si>
    <t>Culiacán</t>
  </si>
  <si>
    <t>Sinaloa</t>
  </si>
  <si>
    <t>Automatización Industrial</t>
  </si>
  <si>
    <t>Hermosillo</t>
  </si>
  <si>
    <t>Sonora</t>
  </si>
  <si>
    <t>Bebidas Refrescantes</t>
  </si>
  <si>
    <t>Tuxtla Gutiérrez</t>
  </si>
  <si>
    <t>Chiapas</t>
  </si>
  <si>
    <t>ProductoID</t>
  </si>
  <si>
    <t>NombreProducto</t>
  </si>
  <si>
    <t>Categoria</t>
  </si>
  <si>
    <t>Subcategoria</t>
  </si>
  <si>
    <t>Costo</t>
  </si>
  <si>
    <t>Precio</t>
  </si>
  <si>
    <t>ProveedorID</t>
  </si>
  <si>
    <t>Laptop Pro X1</t>
  </si>
  <si>
    <t>Electrónica</t>
  </si>
  <si>
    <t>Computadoras</t>
  </si>
  <si>
    <t>Mouse Inalámbrico Elite</t>
  </si>
  <si>
    <t>Accesorios</t>
  </si>
  <si>
    <t>Silla Ergonómica Premium</t>
  </si>
  <si>
    <t>Muebles</t>
  </si>
  <si>
    <t>Oficina</t>
  </si>
  <si>
    <t>Monitor 24" 4K</t>
  </si>
  <si>
    <t>Monitores</t>
  </si>
  <si>
    <t>Teclado Mecánico RGB</t>
  </si>
  <si>
    <t>Escritorio Ejecutivo</t>
  </si>
  <si>
    <t>Tablet Galaxy Tab S9</t>
  </si>
  <si>
    <t>Tablets</t>
  </si>
  <si>
    <t>Impresora Multifuncional</t>
  </si>
  <si>
    <t>Impresoras</t>
  </si>
  <si>
    <t>Audífonos Noise Cancel</t>
  </si>
  <si>
    <t>Audio</t>
  </si>
  <si>
    <t>Router Wi-Fi 6</t>
  </si>
  <si>
    <t>Redes</t>
  </si>
  <si>
    <t>Lámpara LED Escritorio</t>
  </si>
  <si>
    <t>Iluminación</t>
  </si>
  <si>
    <t>Archivador Metálico</t>
  </si>
  <si>
    <t>Almacenamiento</t>
  </si>
  <si>
    <t>Webcam 4K</t>
  </si>
  <si>
    <t>Video</t>
  </si>
  <si>
    <t>Disco SSD 1TB</t>
  </si>
  <si>
    <t>Software Office 365</t>
  </si>
  <si>
    <t>Software</t>
  </si>
  <si>
    <t>Productividad</t>
  </si>
  <si>
    <t>Silla Gamer Pro</t>
  </si>
  <si>
    <t>Gaming</t>
  </si>
  <si>
    <t>Proyector HD</t>
  </si>
  <si>
    <t>Estante Librero</t>
  </si>
  <si>
    <t>Micrófono Profesional</t>
  </si>
  <si>
    <t>Cargador Múltiple USB</t>
  </si>
  <si>
    <t>VentaID</t>
  </si>
  <si>
    <t>FechaVenta</t>
  </si>
  <si>
    <t>Cantidad</t>
  </si>
  <si>
    <t>PrecioUnitario</t>
  </si>
  <si>
    <t>Total</t>
  </si>
  <si>
    <t>VendedorID</t>
  </si>
  <si>
    <t>Region</t>
  </si>
  <si>
    <t>Comision</t>
  </si>
  <si>
    <t>Departamento</t>
  </si>
  <si>
    <t>FechaContratacion</t>
  </si>
  <si>
    <t>Carlos Ruiz Méndez</t>
  </si>
  <si>
    <t>Centro</t>
  </si>
  <si>
    <t>Ventas</t>
  </si>
  <si>
    <t>Ana López García</t>
  </si>
  <si>
    <t>Norte</t>
  </si>
  <si>
    <t>Pedro Gómez Sánchez</t>
  </si>
  <si>
    <t>Sur</t>
  </si>
  <si>
    <t>Laura Torres Ramírez</t>
  </si>
  <si>
    <t>Miguel Ángel Cruz</t>
  </si>
  <si>
    <t>Ventas Corporativas</t>
  </si>
  <si>
    <t>Sandra Reyes Ortega</t>
  </si>
  <si>
    <t>Roberto Chen Liu</t>
  </si>
  <si>
    <t>Ventas Internacionales</t>
  </si>
  <si>
    <t>Isabel Vargas Castro</t>
  </si>
  <si>
    <t>Javier Moreno Díaz</t>
  </si>
  <si>
    <t>Adriana Silva Ponce</t>
  </si>
  <si>
    <t>Fernando Ríos Martínez</t>
  </si>
  <si>
    <t>Claudia Navarro Soto</t>
  </si>
  <si>
    <t>Eduardo Montes Rojas</t>
  </si>
  <si>
    <t>Patricia Salas Vega</t>
  </si>
  <si>
    <t>Ramón Delgado Flores</t>
  </si>
  <si>
    <t>Gabriela Luna Herrera</t>
  </si>
  <si>
    <t>Omar Cervantes Ríos</t>
  </si>
  <si>
    <t>Mariana Solís Peña</t>
  </si>
  <si>
    <t>Ricardo Juárez Mora</t>
  </si>
  <si>
    <t>Daniela Romero Lozano</t>
  </si>
  <si>
    <t>NombreProveedor</t>
  </si>
  <si>
    <t>Contacto</t>
  </si>
  <si>
    <t>Telefono</t>
  </si>
  <si>
    <t>Pais</t>
  </si>
  <si>
    <t>CategoriaPrincipal</t>
  </si>
  <si>
    <t>TechSupply International</t>
  </si>
  <si>
    <t>Roberto Chen</t>
  </si>
  <si>
    <t>555-100-2000</t>
  </si>
  <si>
    <t>China</t>
  </si>
  <si>
    <t>Accesorios Digitales MX</t>
  </si>
  <si>
    <t>Laura Martínez</t>
  </si>
  <si>
    <t>555-300-4000</t>
  </si>
  <si>
    <t>Muebles Premium SA</t>
  </si>
  <si>
    <t>Carlos Ríos</t>
  </si>
  <si>
    <t>555-500-6000</t>
  </si>
  <si>
    <t>Samsung México</t>
  </si>
  <si>
    <t>Kim Ji-hoon</t>
  </si>
  <si>
    <t>555-700-8000</t>
  </si>
  <si>
    <t>Corea del Sur</t>
  </si>
  <si>
    <t>HP Distribución</t>
  </si>
  <si>
    <t>María González</t>
  </si>
  <si>
    <t>555-900-1000</t>
  </si>
  <si>
    <t>USA</t>
  </si>
  <si>
    <t>AudioPro Global</t>
  </si>
  <si>
    <t>David Smith</t>
  </si>
  <si>
    <t>555-110-2200</t>
  </si>
  <si>
    <t>Redes y Conectividad</t>
  </si>
  <si>
    <t>Pablo Ramírez</t>
  </si>
  <si>
    <t>555-330-4400</t>
  </si>
  <si>
    <t>Iluminación Moderna</t>
  </si>
  <si>
    <t>Sofía Vargas</t>
  </si>
  <si>
    <t>555-550-6600</t>
  </si>
  <si>
    <t>Microsoft Partners</t>
  </si>
  <si>
    <t>John Anderson</t>
  </si>
  <si>
    <t>555-770-8800</t>
  </si>
  <si>
    <t>Gaming Gear Co.</t>
  </si>
  <si>
    <t>Luis Fernández</t>
  </si>
  <si>
    <t>555-990-1100</t>
  </si>
  <si>
    <t>Dell México</t>
  </si>
  <si>
    <t>Jennifer López</t>
  </si>
  <si>
    <t>555-120-2300</t>
  </si>
  <si>
    <t>Logitech Latin America</t>
  </si>
  <si>
    <t>Andrea Costa</t>
  </si>
  <si>
    <t>555-340-4500</t>
  </si>
  <si>
    <t>Suiza</t>
  </si>
  <si>
    <t>Apple Authorized Reseller</t>
  </si>
  <si>
    <t>Tom Wilson</t>
  </si>
  <si>
    <t>555-560-6700</t>
  </si>
  <si>
    <t>Lenovo México</t>
  </si>
  <si>
    <t>Carlos Lim</t>
  </si>
  <si>
    <t>555-780-8900</t>
  </si>
  <si>
    <t>Brother México</t>
  </si>
  <si>
    <t>Kenji Tanaka</t>
  </si>
  <si>
    <t>555-900-1200</t>
  </si>
  <si>
    <t>Japón</t>
  </si>
  <si>
    <t>SteelSeries LATAM</t>
  </si>
  <si>
    <t>Erik Johansson</t>
  </si>
  <si>
    <t>555-130-2400</t>
  </si>
  <si>
    <t>Dinamarca</t>
  </si>
  <si>
    <t>ASUS México</t>
  </si>
  <si>
    <t>Wei Zhang</t>
  </si>
  <si>
    <t>555-350-4600</t>
  </si>
  <si>
    <t>Taiwán</t>
  </si>
  <si>
    <t>Acer México</t>
  </si>
  <si>
    <t>Ricardo Chen</t>
  </si>
  <si>
    <t>555-570-6800</t>
  </si>
  <si>
    <t>Canon México</t>
  </si>
  <si>
    <t>Hiroshi Sato</t>
  </si>
  <si>
    <t>555-790-9000</t>
  </si>
  <si>
    <t>Bosch Office Solutions</t>
  </si>
  <si>
    <t>Klaus Schmidt</t>
  </si>
  <si>
    <t>555-910-1300</t>
  </si>
  <si>
    <t>Alemania</t>
  </si>
  <si>
    <t>La empresa "Soluciones Integrales S.A.", una consultora en gestión empresarial, realiza una revisión mensual del inventario de suministros de oficina con el fin de:
Optimizar el presupuesto de compras.
Actualmente, el departamento de administración lleva un registro manual de los artículos disponibles, pero ha decidido comenzar a usar Microsoft Excel para mejorar la eficiencia del proceso. Para ello, se ha realizado un conteo físico en almacén y se ha recopilado la información de 15 artículos clave que se utilizan.</t>
  </si>
  <si>
    <t>#</t>
  </si>
  <si>
    <t>Artículo de Oficina</t>
  </si>
  <si>
    <t>Precio Unitario (COP)</t>
  </si>
  <si>
    <t>Presupuesto</t>
  </si>
  <si>
    <t>Aproximado</t>
  </si>
  <si>
    <t>Bolígrafos (caja de 12)</t>
  </si>
  <si>
    <t>Cuadernos tamaño oficio</t>
  </si>
  <si>
    <t>Marcadores para pizarra</t>
  </si>
  <si>
    <t>Corrector líquido (unidad)</t>
  </si>
  <si>
    <t>Resaltadores (juego de 5)</t>
  </si>
  <si>
    <t>Carpetas de cartón (unidad)</t>
  </si>
  <si>
    <t>Grapadora manual</t>
  </si>
  <si>
    <t>Tijeras de oficina</t>
  </si>
  <si>
    <t>Bloc de notas adhesivas</t>
  </si>
  <si>
    <t>Cartuchos de tinta (modelo X)</t>
  </si>
  <si>
    <t>Archivadores (tamaño A4)</t>
  </si>
  <si>
    <t>Calculadora básica</t>
  </si>
  <si>
    <t>Portaminas con repuestos</t>
  </si>
  <si>
    <t>Papel bond (resma de 500 hojas)</t>
  </si>
  <si>
    <t>Cinta adhesiva (rollo)</t>
  </si>
  <si>
    <t>Restricciones</t>
  </si>
  <si>
    <t>Todas las cantidades son enteras</t>
  </si>
  <si>
    <t>Cantidad Mínima</t>
  </si>
  <si>
    <t>Cantidad Máxima</t>
  </si>
  <si>
    <t>Ejercicio</t>
  </si>
  <si>
    <t>Descripción</t>
  </si>
  <si>
    <t>Ejercicio 2</t>
  </si>
  <si>
    <t>Ejercicio 3</t>
  </si>
  <si>
    <t>Crear una macro para calcular el total de ventas por ciudad.
    Pasos:
    1. Iniciar la grabadora de macros.
    2. Insertar una tabla dinámica basada en los datos de ventas.
    3. Colocar 'Ciudad' en filas y 'Total Venta' en valores.
    4. Detener la grabación y asignar la macro a un botón.</t>
  </si>
  <si>
    <t>ID Venta</t>
  </si>
  <si>
    <t>Fecha</t>
  </si>
  <si>
    <t>Cliente</t>
  </si>
  <si>
    <t>Producto</t>
  </si>
  <si>
    <t>Categoría</t>
  </si>
  <si>
    <t>Precio Unitario</t>
  </si>
  <si>
    <t>Vendedor</t>
  </si>
  <si>
    <t>Total Venta</t>
  </si>
  <si>
    <t>Cliente 39</t>
  </si>
  <si>
    <t>Monitor</t>
  </si>
  <si>
    <t>Periféricos</t>
  </si>
  <si>
    <t>Vendedor 8</t>
  </si>
  <si>
    <t>Ciudad D</t>
  </si>
  <si>
    <t>Cliente 29</t>
  </si>
  <si>
    <t>Mouse</t>
  </si>
  <si>
    <t>Vendedor 1</t>
  </si>
  <si>
    <t>Ciudad A</t>
  </si>
  <si>
    <t>Cliente 15</t>
  </si>
  <si>
    <t>Auriculares</t>
  </si>
  <si>
    <t>Vendedor 4</t>
  </si>
  <si>
    <t>Ciudad C</t>
  </si>
  <si>
    <t>Cliente 43</t>
  </si>
  <si>
    <t>Vendedor 6</t>
  </si>
  <si>
    <t>Ciudad E</t>
  </si>
  <si>
    <t>Cliente 8</t>
  </si>
  <si>
    <t>Tablet</t>
  </si>
  <si>
    <t>Vendedor 9</t>
  </si>
  <si>
    <t>Cliente 21</t>
  </si>
  <si>
    <t>Disco Duro</t>
  </si>
  <si>
    <t>Vendedor 2</t>
  </si>
  <si>
    <t>Cliente 19</t>
  </si>
  <si>
    <t>Vendedor 10</t>
  </si>
  <si>
    <t>Cliente 23</t>
  </si>
  <si>
    <t>Teléfono</t>
  </si>
  <si>
    <t>Cliente 11</t>
  </si>
  <si>
    <t>Vendedor 7</t>
  </si>
  <si>
    <t>Ciudad B</t>
  </si>
  <si>
    <t>Vendedor 3</t>
  </si>
  <si>
    <t>Cliente 24</t>
  </si>
  <si>
    <t>Cliente 36</t>
  </si>
  <si>
    <t>Cliente 40</t>
  </si>
  <si>
    <t>Cliente 3</t>
  </si>
  <si>
    <t>Laptop</t>
  </si>
  <si>
    <t>Cliente 22</t>
  </si>
  <si>
    <t>Cliente 2</t>
  </si>
  <si>
    <t>Teclado</t>
  </si>
  <si>
    <t>Cliente 44</t>
  </si>
  <si>
    <t>Vendedor 5</t>
  </si>
  <si>
    <t>Cliente 30</t>
  </si>
  <si>
    <t>Cliente 38</t>
  </si>
  <si>
    <t>Impresora</t>
  </si>
  <si>
    <t>Cliente 33</t>
  </si>
  <si>
    <t>Cliente 12</t>
  </si>
  <si>
    <t>Cliente 25</t>
  </si>
  <si>
    <t>Cliente 49</t>
  </si>
  <si>
    <t>Cliente 27</t>
  </si>
  <si>
    <t>Cliente 42</t>
  </si>
  <si>
    <t>Cliente 28</t>
  </si>
  <si>
    <t>Cliente 16</t>
  </si>
  <si>
    <t>Cliente 47</t>
  </si>
  <si>
    <t>Cliente 37</t>
  </si>
  <si>
    <t>Cliente 7</t>
  </si>
  <si>
    <t>Cliente 9</t>
  </si>
  <si>
    <t>Cliente 18</t>
  </si>
  <si>
    <t>Cliente 4</t>
  </si>
  <si>
    <t>Cliente 14</t>
  </si>
  <si>
    <t>Cliente 50</t>
  </si>
  <si>
    <t>Cliente 26</t>
  </si>
  <si>
    <t>Cliente 20</t>
  </si>
  <si>
    <t>Cliente 35</t>
  </si>
  <si>
    <t>Cliente 17</t>
  </si>
  <si>
    <t>Cámara</t>
  </si>
  <si>
    <t>Cliente 6</t>
  </si>
  <si>
    <t>Cliente 34</t>
  </si>
  <si>
    <t>Cliente 10</t>
  </si>
  <si>
    <t>Cliente 31</t>
  </si>
  <si>
    <t>Cliente 48</t>
  </si>
  <si>
    <t>Cliente 45</t>
  </si>
  <si>
    <t>Cliente 41</t>
  </si>
  <si>
    <t>Cliente 1</t>
  </si>
  <si>
    <t>Cliente 5</t>
  </si>
  <si>
    <t>Cliente 13</t>
  </si>
  <si>
    <t>Cliente 32</t>
  </si>
  <si>
    <t>Crear una macro para ordenar los datos de ventas por Total Venta de mayor a menor. y otra de menor a mayor
    Pasos:
    1. Iniciar la grabadora de macros.
    2. Seleccionar toda la tabla de datos.
    3. Ir a la pestaña 'Datos' &gt; 'Ordenar'.
    4. Elegir la columna 'Total Venta' y ordenar de mayor a menor.
    5. Detener la grabación y asignar la macro a un botón.</t>
  </si>
  <si>
    <t>Clientes (ClienteID) ← Ventas (ClienteID)</t>
  </si>
  <si>
    <t>Productos (ProductoID) ← Ventas (ProductoID)</t>
  </si>
  <si>
    <t>Vendedores (VendedorID) ← Ventas (VendedorID)</t>
  </si>
  <si>
    <t>Proveedores (ProveedorID) ← Productos (ProveedorID)</t>
  </si>
  <si>
    <t>Crear una macro para filtrar (FILTRO AVANZADO) las ventas de un vendedor específico.
    Pasos:
    1. Iniciar la grabadora de macros.
    2. Seleccionar la columna 'Vendedor'.
    3. Aplicar un filtro y seleccionar un vendedor al azar.
    4. Detener la grabación y asignar la macro a un botón.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</si>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</sst>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F1115"/>
      <name val="Segoe UI"/>
      <family val="2"/>
    </font>
    <font>
      <sz val="11"/>
      <color rgb="FF0F1115"/>
      <name val="Segoe UI"/>
      <family val="2"/>
    </font>
    <font>
      <sz val="10"/>
      <color rgb="FF0F1115"/>
      <name val="Arial"/>
      <family val="2"/>
    </font>
    <font>
      <sz val="11"/>
      <color theme="1"/>
      <name val="Arial"/>
      <family val="2"/>
    </font>
    <font>
      <b/>
      <sz val="11"/>
      <color theme="2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 style="medium">
        <color theme="5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3" fillId="2" borderId="0" xfId="0" applyFont="1" applyFill="1" applyAlignment="1">
      <alignment horizontal="left" vertical="center" wrapText="1" indent="1"/>
    </xf>
    <xf numFmtId="0" fontId="4" fillId="2" borderId="0" xfId="0" applyFont="1" applyFill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wrapText="1" indent="1"/>
    </xf>
    <xf numFmtId="14" fontId="4" fillId="0" borderId="0" xfId="0" applyNumberFormat="1" applyFont="1" applyAlignment="1">
      <alignment horizontal="left" vertical="center" wrapText="1" indent="1"/>
    </xf>
    <xf numFmtId="0" fontId="0" fillId="0" borderId="0" xfId="0" applyAlignment="1">
      <alignment horizontal="left" wrapText="1"/>
    </xf>
    <xf numFmtId="0" fontId="0" fillId="0" borderId="1" xfId="0" applyBorder="1"/>
    <xf numFmtId="3" fontId="0" fillId="0" borderId="1" xfId="0" applyNumberFormat="1" applyBorder="1"/>
    <xf numFmtId="164" fontId="0" fillId="0" borderId="1" xfId="1" applyNumberFormat="1" applyFont="1" applyBorder="1"/>
    <xf numFmtId="164" fontId="0" fillId="3" borderId="1" xfId="1" applyNumberFormat="1" applyFont="1" applyFill="1" applyBorder="1"/>
    <xf numFmtId="3" fontId="0" fillId="0" borderId="0" xfId="0" applyNumberFormat="1"/>
    <xf numFmtId="164" fontId="0" fillId="3" borderId="1" xfId="0" applyNumberFormat="1" applyFill="1" applyBorder="1"/>
    <xf numFmtId="0" fontId="2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2" fillId="3" borderId="1" xfId="0" applyFont="1" applyFill="1" applyBorder="1" applyAlignment="1">
      <alignment horizontal="center" vertical="top"/>
    </xf>
    <xf numFmtId="0" fontId="5" fillId="0" borderId="0" xfId="0" applyFont="1" applyAlignment="1">
      <alignment horizontal="left" vertical="center" indent="1"/>
    </xf>
    <xf numFmtId="0" fontId="6" fillId="0" borderId="0" xfId="0" applyFont="1"/>
    <xf numFmtId="9" fontId="4" fillId="0" borderId="0" xfId="2" applyFont="1" applyFill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0" xfId="0" applyAlignment="1">
      <alignment horizontal="left" wrapText="1"/>
    </xf>
    <xf numFmtId="0" fontId="7" fillId="4" borderId="1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0" fillId="0" borderId="0" xfId="0" applyBorder="1"/>
    <xf numFmtId="0" fontId="0" fillId="5" borderId="0" xfId="0" applyFill="1" applyBorder="1"/>
    <xf numFmtId="0" fontId="0" fillId="6" borderId="7" xfId="0" applyFill="1" applyBorder="1"/>
    <xf numFmtId="0" fontId="0" fillId="6" borderId="0" xfId="0" applyFill="1" applyBorder="1"/>
    <xf numFmtId="0" fontId="0" fillId="6" borderId="8" xfId="0" applyFill="1" applyBorder="1"/>
    <xf numFmtId="0" fontId="0" fillId="6" borderId="10" xfId="0" applyFill="1" applyBorder="1"/>
    <xf numFmtId="0" fontId="0" fillId="6" borderId="9" xfId="0" applyFill="1" applyBorder="1"/>
    <xf numFmtId="0" fontId="0" fillId="6" borderId="11" xfId="0" applyFill="1" applyBorder="1"/>
    <xf numFmtId="0" fontId="8" fillId="6" borderId="10" xfId="0" applyFont="1" applyFill="1" applyBorder="1"/>
    <xf numFmtId="0" fontId="2" fillId="3" borderId="9" xfId="0" applyFont="1" applyFill="1" applyBorder="1" applyAlignment="1">
      <alignment horizontal="center" vertical="top"/>
    </xf>
    <xf numFmtId="0" fontId="0" fillId="0" borderId="10" xfId="0" applyBorder="1"/>
    <xf numFmtId="0" fontId="0" fillId="0" borderId="12" xfId="0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133351</xdr:colOff>
          <xdr:row>0</xdr:row>
          <xdr:rowOff>66675</xdr:rowOff>
        </xdr:from>
        <xdr:to>
          <xdr:col>14</xdr:col>
          <xdr:colOff>1266826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MAYOR A MENOR VENTA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152401</xdr:colOff>
          <xdr:row>2</xdr:row>
          <xdr:rowOff>19050</xdr:rowOff>
        </xdr:from>
        <xdr:to>
          <xdr:col>14</xdr:col>
          <xdr:colOff>1257300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MENOR A MAYOR VENTA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981075</xdr:colOff>
          <xdr:row>7</xdr:row>
          <xdr:rowOff>9525</xdr:rowOff>
        </xdr:from>
        <xdr:to>
          <xdr:col>16</xdr:col>
          <xdr:colOff>19050</xdr:colOff>
          <xdr:row>8</xdr:row>
          <xdr:rowOff>95250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FILTRAR VENDEDOR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0</xdr:row>
          <xdr:rowOff>76200</xdr:rowOff>
        </xdr:from>
        <xdr:to>
          <xdr:col>21</xdr:col>
          <xdr:colOff>390525</xdr:colOff>
          <xdr:row>1</xdr:row>
          <xdr:rowOff>142875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MOSTRAR TABLA DINAMICA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552450</xdr:colOff>
          <xdr:row>2</xdr:row>
          <xdr:rowOff>0</xdr:rowOff>
        </xdr:from>
        <xdr:to>
          <xdr:col>21</xdr:col>
          <xdr:colOff>381000</xdr:colOff>
          <xdr:row>3</xdr:row>
          <xdr:rowOff>85725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ELIMINAR TABLA DINAMICA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58D8-1E59-42D6-8C38-DCA1393892F7}">
  <sheetPr>
    <tabColor theme="9" tint="0.39997558519241921"/>
  </sheetPr>
  <dimension ref="A1:B4"/>
  <sheetViews>
    <sheetView zoomScale="90" zoomScaleNormal="90" workbookViewId="0">
      <selection activeCell="E3" sqref="E3"/>
    </sheetView>
  </sheetViews>
  <sheetFormatPr baseColWidth="10" defaultColWidth="9.140625" defaultRowHeight="15" x14ac:dyDescent="0.25"/>
  <cols>
    <col min="1" max="1" width="9.85546875" bestFit="1" customWidth="1"/>
    <col min="2" max="2" width="77" bestFit="1" customWidth="1"/>
  </cols>
  <sheetData>
    <row r="1" spans="1:2" x14ac:dyDescent="0.25">
      <c r="A1" s="13" t="s">
        <v>244</v>
      </c>
      <c r="B1" s="13" t="s">
        <v>245</v>
      </c>
    </row>
    <row r="2" spans="1:2" ht="120" x14ac:dyDescent="0.25">
      <c r="A2" s="28" t="s">
        <v>338</v>
      </c>
      <c r="B2" s="29" t="s">
        <v>332</v>
      </c>
    </row>
    <row r="3" spans="1:2" ht="105" x14ac:dyDescent="0.25">
      <c r="A3" s="28" t="s">
        <v>246</v>
      </c>
      <c r="B3" s="29" t="s">
        <v>337</v>
      </c>
    </row>
    <row r="4" spans="1:2" ht="90" x14ac:dyDescent="0.25">
      <c r="A4" s="14" t="s">
        <v>247</v>
      </c>
      <c r="B4" s="15" t="s">
        <v>248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38026-E725-49D9-A30B-90B817A96C4C}">
  <sheetPr>
    <tabColor theme="9" tint="0.39997558519241921"/>
  </sheetPr>
  <dimension ref="A1:X301"/>
  <sheetViews>
    <sheetView showGridLines="0" tabSelected="1" topLeftCell="J1" zoomScaleNormal="100" workbookViewId="0">
      <selection activeCell="V7" sqref="V7"/>
    </sheetView>
  </sheetViews>
  <sheetFormatPr baseColWidth="10" defaultColWidth="9.140625" defaultRowHeight="15" x14ac:dyDescent="0.25"/>
  <cols>
    <col min="2" max="2" width="10.85546875" bestFit="1" customWidth="1"/>
    <col min="3" max="3" width="9.85546875" bestFit="1" customWidth="1"/>
    <col min="4" max="4" width="11" bestFit="1" customWidth="1"/>
    <col min="5" max="5" width="10.7109375" bestFit="1" customWidth="1"/>
    <col min="7" max="7" width="14.28515625" bestFit="1" customWidth="1"/>
    <col min="8" max="8" width="12.28515625" bestFit="1" customWidth="1"/>
    <col min="10" max="10" width="11.140625" bestFit="1" customWidth="1"/>
    <col min="12" max="12" width="19.28515625" bestFit="1" customWidth="1"/>
    <col min="13" max="14" width="17.85546875" bestFit="1" customWidth="1"/>
    <col min="15" max="15" width="19.28515625" bestFit="1" customWidth="1"/>
    <col min="16" max="16" width="11.140625" bestFit="1" customWidth="1"/>
    <col min="17" max="17" width="10.85546875" bestFit="1" customWidth="1"/>
    <col min="19" max="19" width="14.28515625" bestFit="1" customWidth="1"/>
    <col min="20" max="20" width="11.85546875" bestFit="1" customWidth="1"/>
    <col min="21" max="21" width="9" bestFit="1" customWidth="1"/>
    <col min="22" max="22" width="11" bestFit="1" customWidth="1"/>
  </cols>
  <sheetData>
    <row r="1" spans="1:23" x14ac:dyDescent="0.25">
      <c r="A1" s="16" t="s">
        <v>249</v>
      </c>
      <c r="B1" s="16" t="s">
        <v>250</v>
      </c>
      <c r="C1" s="16" t="s">
        <v>251</v>
      </c>
      <c r="D1" s="16" t="s">
        <v>252</v>
      </c>
      <c r="E1" s="16" t="s">
        <v>253</v>
      </c>
      <c r="F1" s="16" t="s">
        <v>112</v>
      </c>
      <c r="G1" s="16" t="s">
        <v>254</v>
      </c>
      <c r="H1" s="16" t="s">
        <v>255</v>
      </c>
      <c r="I1" s="16" t="s">
        <v>2</v>
      </c>
      <c r="J1" s="16" t="s">
        <v>256</v>
      </c>
      <c r="M1" s="42"/>
      <c r="N1" s="43"/>
      <c r="O1" s="43"/>
      <c r="P1" s="44"/>
      <c r="Q1" s="32"/>
      <c r="R1" s="42"/>
      <c r="S1" s="43"/>
      <c r="T1" s="43"/>
      <c r="U1" s="43"/>
      <c r="V1" s="43"/>
      <c r="W1" s="44"/>
    </row>
    <row r="2" spans="1:23" x14ac:dyDescent="0.25">
      <c r="A2" s="7">
        <v>107</v>
      </c>
      <c r="B2" s="20">
        <v>45214</v>
      </c>
      <c r="C2" s="7" t="s">
        <v>283</v>
      </c>
      <c r="D2" s="7" t="s">
        <v>320</v>
      </c>
      <c r="E2" s="7" t="s">
        <v>259</v>
      </c>
      <c r="F2" s="7">
        <v>9</v>
      </c>
      <c r="G2" s="7">
        <v>1976</v>
      </c>
      <c r="H2" s="7" t="s">
        <v>275</v>
      </c>
      <c r="I2" s="7" t="s">
        <v>265</v>
      </c>
      <c r="J2" s="7">
        <v>158</v>
      </c>
      <c r="M2" s="45"/>
      <c r="N2" s="31"/>
      <c r="O2" s="31"/>
      <c r="P2" s="46"/>
      <c r="Q2" s="33"/>
      <c r="R2" s="45"/>
      <c r="S2" s="31"/>
      <c r="T2" s="31"/>
      <c r="U2" s="31"/>
      <c r="V2" s="31"/>
      <c r="W2" s="46"/>
    </row>
    <row r="3" spans="1:23" x14ac:dyDescent="0.25">
      <c r="A3" s="7">
        <v>124</v>
      </c>
      <c r="B3" s="20">
        <v>45231</v>
      </c>
      <c r="C3" s="7" t="s">
        <v>325</v>
      </c>
      <c r="D3" s="7" t="s">
        <v>299</v>
      </c>
      <c r="E3" s="7" t="s">
        <v>75</v>
      </c>
      <c r="F3" s="7">
        <v>9</v>
      </c>
      <c r="G3" s="7">
        <v>1948</v>
      </c>
      <c r="H3" s="7" t="s">
        <v>286</v>
      </c>
      <c r="I3" s="7" t="s">
        <v>261</v>
      </c>
      <c r="J3" s="7">
        <v>197</v>
      </c>
      <c r="M3" s="45"/>
      <c r="N3" s="31"/>
      <c r="O3" s="31"/>
      <c r="P3" s="46"/>
      <c r="Q3" s="33"/>
      <c r="R3" s="45"/>
      <c r="S3" s="31"/>
      <c r="T3" s="31"/>
      <c r="U3" s="31"/>
      <c r="V3" s="31"/>
      <c r="W3" s="46"/>
    </row>
    <row r="4" spans="1:23" ht="15.75" thickBot="1" x14ac:dyDescent="0.3">
      <c r="A4" s="7">
        <v>205</v>
      </c>
      <c r="B4" s="20">
        <v>45312</v>
      </c>
      <c r="C4" s="7" t="s">
        <v>327</v>
      </c>
      <c r="D4" s="7" t="s">
        <v>320</v>
      </c>
      <c r="E4" s="7" t="s">
        <v>78</v>
      </c>
      <c r="F4" s="7">
        <v>9</v>
      </c>
      <c r="G4" s="7">
        <v>1926</v>
      </c>
      <c r="H4" s="7" t="s">
        <v>268</v>
      </c>
      <c r="I4" s="7" t="s">
        <v>265</v>
      </c>
      <c r="J4" s="7">
        <v>212</v>
      </c>
      <c r="M4" s="47"/>
      <c r="N4" s="48"/>
      <c r="O4" s="48"/>
      <c r="P4" s="49"/>
      <c r="Q4" s="33"/>
      <c r="R4" s="47"/>
      <c r="S4" s="48"/>
      <c r="T4" s="48"/>
      <c r="U4" s="48"/>
      <c r="V4" s="48"/>
      <c r="W4" s="49"/>
    </row>
    <row r="5" spans="1:23" x14ac:dyDescent="0.25">
      <c r="A5" s="7">
        <v>255</v>
      </c>
      <c r="B5" s="20">
        <v>45362</v>
      </c>
      <c r="C5" s="7" t="s">
        <v>279</v>
      </c>
      <c r="D5" s="7" t="s">
        <v>263</v>
      </c>
      <c r="E5" s="7" t="s">
        <v>78</v>
      </c>
      <c r="F5" s="7">
        <v>9</v>
      </c>
      <c r="G5" s="7">
        <v>1917</v>
      </c>
      <c r="H5" s="7" t="s">
        <v>278</v>
      </c>
      <c r="I5" s="7" t="s">
        <v>269</v>
      </c>
      <c r="J5" s="7">
        <v>281</v>
      </c>
      <c r="M5" s="30"/>
      <c r="N5" s="30"/>
      <c r="O5" s="30"/>
      <c r="P5" s="30"/>
      <c r="Q5" s="33"/>
      <c r="R5" s="30"/>
      <c r="S5" s="30"/>
      <c r="T5" s="30"/>
      <c r="U5" s="30"/>
      <c r="V5" s="30"/>
      <c r="W5" s="30"/>
    </row>
    <row r="6" spans="1:23" ht="15.75" thickBot="1" x14ac:dyDescent="0.3">
      <c r="A6" s="7">
        <v>135</v>
      </c>
      <c r="B6" s="20">
        <v>45242</v>
      </c>
      <c r="C6" s="7" t="s">
        <v>318</v>
      </c>
      <c r="D6" s="7" t="s">
        <v>320</v>
      </c>
      <c r="E6" s="7" t="s">
        <v>259</v>
      </c>
      <c r="F6" s="7">
        <v>9</v>
      </c>
      <c r="G6" s="7">
        <v>1808</v>
      </c>
      <c r="H6" s="7" t="s">
        <v>275</v>
      </c>
      <c r="I6" s="7" t="s">
        <v>265</v>
      </c>
      <c r="J6" s="7">
        <v>282</v>
      </c>
      <c r="M6" s="30"/>
      <c r="N6" s="33"/>
      <c r="O6" s="33"/>
      <c r="P6" s="33"/>
      <c r="Q6" s="33"/>
      <c r="R6" s="33"/>
      <c r="S6" s="33"/>
      <c r="T6" s="33"/>
      <c r="U6" s="33"/>
      <c r="V6" s="33"/>
      <c r="W6" s="33"/>
    </row>
    <row r="7" spans="1:23" x14ac:dyDescent="0.25">
      <c r="A7" s="7">
        <v>67</v>
      </c>
      <c r="B7" s="20">
        <v>45174</v>
      </c>
      <c r="C7" s="7" t="s">
        <v>321</v>
      </c>
      <c r="D7" s="7" t="s">
        <v>267</v>
      </c>
      <c r="E7" s="7" t="s">
        <v>78</v>
      </c>
      <c r="F7" s="7">
        <v>8</v>
      </c>
      <c r="G7" s="7">
        <v>1990</v>
      </c>
      <c r="H7" s="7" t="s">
        <v>264</v>
      </c>
      <c r="I7" s="7" t="s">
        <v>285</v>
      </c>
      <c r="J7" s="7">
        <v>286</v>
      </c>
      <c r="M7" s="34"/>
      <c r="N7" s="33"/>
      <c r="O7" s="33"/>
      <c r="P7" s="33"/>
      <c r="Q7" s="33"/>
      <c r="R7" s="33"/>
      <c r="S7" s="33"/>
      <c r="T7" s="33"/>
      <c r="U7" s="33"/>
      <c r="V7" s="33"/>
      <c r="W7" s="33"/>
    </row>
    <row r="8" spans="1:23" x14ac:dyDescent="0.25">
      <c r="A8" s="7">
        <v>184</v>
      </c>
      <c r="B8" s="20">
        <v>45291</v>
      </c>
      <c r="C8" s="7" t="s">
        <v>257</v>
      </c>
      <c r="D8" s="7" t="s">
        <v>320</v>
      </c>
      <c r="E8" s="7" t="s">
        <v>78</v>
      </c>
      <c r="F8" s="7">
        <v>8</v>
      </c>
      <c r="G8" s="7">
        <v>1972</v>
      </c>
      <c r="H8" s="7" t="s">
        <v>260</v>
      </c>
      <c r="I8" s="7" t="s">
        <v>285</v>
      </c>
      <c r="J8" s="7">
        <v>292</v>
      </c>
      <c r="M8" s="39" t="s">
        <v>255</v>
      </c>
      <c r="N8" s="33"/>
      <c r="O8" s="33"/>
      <c r="P8" s="33"/>
      <c r="Q8" s="33"/>
      <c r="R8" s="33"/>
      <c r="S8" s="33"/>
      <c r="T8" s="33"/>
      <c r="U8" s="33"/>
      <c r="V8" s="33"/>
      <c r="W8" s="35"/>
    </row>
    <row r="9" spans="1:23" x14ac:dyDescent="0.25">
      <c r="A9" s="7">
        <v>201</v>
      </c>
      <c r="B9" s="20">
        <v>45308</v>
      </c>
      <c r="C9" s="7" t="s">
        <v>266</v>
      </c>
      <c r="D9" s="7" t="s">
        <v>274</v>
      </c>
      <c r="E9" s="7" t="s">
        <v>75</v>
      </c>
      <c r="F9" s="7">
        <v>9</v>
      </c>
      <c r="G9" s="7">
        <v>1739</v>
      </c>
      <c r="H9" s="7" t="s">
        <v>286</v>
      </c>
      <c r="I9" s="7" t="s">
        <v>261</v>
      </c>
      <c r="J9" s="7">
        <v>372</v>
      </c>
      <c r="M9" s="36" t="s">
        <v>264</v>
      </c>
      <c r="N9" s="33"/>
      <c r="O9" s="33"/>
      <c r="P9" s="33"/>
      <c r="Q9" s="33"/>
      <c r="R9" s="33"/>
      <c r="S9" s="33"/>
      <c r="T9" s="33"/>
      <c r="U9" s="33"/>
      <c r="V9" s="33"/>
      <c r="W9" s="35"/>
    </row>
    <row r="10" spans="1:23" x14ac:dyDescent="0.25">
      <c r="A10" s="7">
        <v>260</v>
      </c>
      <c r="B10" s="20">
        <v>45367</v>
      </c>
      <c r="C10" s="7" t="s">
        <v>300</v>
      </c>
      <c r="D10" s="7" t="s">
        <v>274</v>
      </c>
      <c r="E10" s="7" t="s">
        <v>78</v>
      </c>
      <c r="F10" s="7">
        <v>8</v>
      </c>
      <c r="G10" s="7">
        <v>1905</v>
      </c>
      <c r="H10" s="7" t="s">
        <v>296</v>
      </c>
      <c r="I10" s="7" t="s">
        <v>272</v>
      </c>
      <c r="J10" s="7">
        <v>420</v>
      </c>
      <c r="M10" s="37"/>
      <c r="N10" s="33"/>
      <c r="O10" s="33"/>
      <c r="P10" s="33"/>
      <c r="Q10" s="33"/>
      <c r="R10" s="33"/>
      <c r="S10" s="33"/>
      <c r="T10" s="33"/>
      <c r="U10" s="33"/>
      <c r="V10" s="33"/>
      <c r="W10" s="38"/>
    </row>
    <row r="11" spans="1:23" x14ac:dyDescent="0.25">
      <c r="A11" s="7">
        <v>223</v>
      </c>
      <c r="B11" s="20">
        <v>45330</v>
      </c>
      <c r="C11" s="7" t="s">
        <v>300</v>
      </c>
      <c r="D11" s="7" t="s">
        <v>294</v>
      </c>
      <c r="E11" s="7" t="s">
        <v>259</v>
      </c>
      <c r="F11" s="7">
        <v>9</v>
      </c>
      <c r="G11" s="7">
        <v>1692</v>
      </c>
      <c r="H11" s="7" t="s">
        <v>278</v>
      </c>
      <c r="I11" s="7" t="s">
        <v>265</v>
      </c>
      <c r="J11" s="7">
        <v>434</v>
      </c>
      <c r="M11" s="37"/>
      <c r="N11" s="33"/>
      <c r="O11" s="33"/>
      <c r="P11" s="33"/>
      <c r="Q11" s="33"/>
      <c r="R11" s="33"/>
      <c r="S11" s="33"/>
      <c r="T11" s="33"/>
      <c r="U11" s="33"/>
      <c r="V11" s="33"/>
      <c r="W11" s="38"/>
    </row>
    <row r="12" spans="1:23" x14ac:dyDescent="0.25">
      <c r="A12" s="7">
        <v>62</v>
      </c>
      <c r="B12" s="20">
        <v>45169</v>
      </c>
      <c r="C12" s="7" t="s">
        <v>288</v>
      </c>
      <c r="D12" s="7" t="s">
        <v>277</v>
      </c>
      <c r="E12" s="7" t="s">
        <v>259</v>
      </c>
      <c r="F12" s="7">
        <v>8</v>
      </c>
      <c r="G12" s="7">
        <v>1857</v>
      </c>
      <c r="H12" s="7" t="s">
        <v>280</v>
      </c>
      <c r="I12" s="7" t="s">
        <v>261</v>
      </c>
      <c r="J12" s="7">
        <v>506</v>
      </c>
      <c r="M12" s="16" t="s">
        <v>249</v>
      </c>
      <c r="N12" s="16" t="s">
        <v>250</v>
      </c>
      <c r="O12" s="16" t="s">
        <v>251</v>
      </c>
      <c r="P12" s="16" t="s">
        <v>252</v>
      </c>
      <c r="Q12" s="16" t="s">
        <v>253</v>
      </c>
      <c r="R12" s="16" t="s">
        <v>112</v>
      </c>
      <c r="S12" s="16" t="s">
        <v>254</v>
      </c>
      <c r="T12" s="16" t="s">
        <v>255</v>
      </c>
      <c r="U12" s="16" t="s">
        <v>2</v>
      </c>
      <c r="V12" s="16" t="s">
        <v>256</v>
      </c>
      <c r="W12" s="38"/>
    </row>
    <row r="13" spans="1:23" x14ac:dyDescent="0.25">
      <c r="A13" s="7">
        <v>225</v>
      </c>
      <c r="B13" s="20">
        <v>45332</v>
      </c>
      <c r="C13" s="7" t="s">
        <v>279</v>
      </c>
      <c r="D13" s="7" t="s">
        <v>267</v>
      </c>
      <c r="E13" s="7" t="s">
        <v>259</v>
      </c>
      <c r="F13" s="7">
        <v>9</v>
      </c>
      <c r="G13" s="7">
        <v>1620</v>
      </c>
      <c r="H13" s="7" t="s">
        <v>264</v>
      </c>
      <c r="I13" s="7" t="s">
        <v>261</v>
      </c>
      <c r="J13" s="7">
        <v>512</v>
      </c>
      <c r="M13" s="7">
        <v>67</v>
      </c>
      <c r="N13" s="20">
        <v>45174</v>
      </c>
      <c r="O13" s="7" t="s">
        <v>321</v>
      </c>
      <c r="P13" s="7" t="s">
        <v>267</v>
      </c>
      <c r="Q13" s="7" t="s">
        <v>78</v>
      </c>
      <c r="R13" s="7">
        <v>8</v>
      </c>
      <c r="S13" s="7">
        <v>1990</v>
      </c>
      <c r="T13" s="7" t="s">
        <v>264</v>
      </c>
      <c r="U13" s="7" t="s">
        <v>285</v>
      </c>
      <c r="V13" s="7">
        <v>286</v>
      </c>
      <c r="W13" s="38"/>
    </row>
    <row r="14" spans="1:23" x14ac:dyDescent="0.25">
      <c r="A14" s="7">
        <v>114</v>
      </c>
      <c r="B14" s="20">
        <v>45221</v>
      </c>
      <c r="C14" s="7" t="s">
        <v>305</v>
      </c>
      <c r="D14" s="7" t="s">
        <v>294</v>
      </c>
      <c r="E14" s="7" t="s">
        <v>259</v>
      </c>
      <c r="F14" s="7">
        <v>8</v>
      </c>
      <c r="G14" s="7">
        <v>1800</v>
      </c>
      <c r="H14" s="7" t="s">
        <v>280</v>
      </c>
      <c r="I14" s="7" t="s">
        <v>265</v>
      </c>
      <c r="J14" s="7">
        <v>574</v>
      </c>
      <c r="M14" s="7">
        <v>62</v>
      </c>
      <c r="N14" s="20">
        <v>45169</v>
      </c>
      <c r="O14" s="7" t="s">
        <v>288</v>
      </c>
      <c r="P14" s="7" t="s">
        <v>277</v>
      </c>
      <c r="Q14" s="7" t="s">
        <v>259</v>
      </c>
      <c r="R14" s="7">
        <v>8</v>
      </c>
      <c r="S14" s="7">
        <v>1857</v>
      </c>
      <c r="T14" s="7" t="s">
        <v>280</v>
      </c>
      <c r="U14" s="7" t="s">
        <v>261</v>
      </c>
      <c r="V14" s="7">
        <v>506</v>
      </c>
      <c r="W14" s="38"/>
    </row>
    <row r="15" spans="1:23" x14ac:dyDescent="0.25">
      <c r="A15" s="7">
        <v>245</v>
      </c>
      <c r="B15" s="20">
        <v>45352</v>
      </c>
      <c r="C15" s="7" t="s">
        <v>311</v>
      </c>
      <c r="D15" s="7" t="s">
        <v>291</v>
      </c>
      <c r="E15" s="7" t="s">
        <v>75</v>
      </c>
      <c r="F15" s="7">
        <v>8</v>
      </c>
      <c r="G15" s="7">
        <v>1778</v>
      </c>
      <c r="H15" s="7" t="s">
        <v>264</v>
      </c>
      <c r="I15" s="7" t="s">
        <v>261</v>
      </c>
      <c r="J15" s="7">
        <v>588</v>
      </c>
      <c r="M15" s="7">
        <v>225</v>
      </c>
      <c r="N15" s="20">
        <v>45332</v>
      </c>
      <c r="O15" s="7" t="s">
        <v>279</v>
      </c>
      <c r="P15" s="7" t="s">
        <v>267</v>
      </c>
      <c r="Q15" s="7" t="s">
        <v>259</v>
      </c>
      <c r="R15" s="7">
        <v>9</v>
      </c>
      <c r="S15" s="7">
        <v>1620</v>
      </c>
      <c r="T15" s="7" t="s">
        <v>264</v>
      </c>
      <c r="U15" s="7" t="s">
        <v>261</v>
      </c>
      <c r="V15" s="7">
        <v>512</v>
      </c>
      <c r="W15" s="38"/>
    </row>
    <row r="16" spans="1:23" x14ac:dyDescent="0.25">
      <c r="A16" s="7">
        <v>191</v>
      </c>
      <c r="B16" s="20">
        <v>45298</v>
      </c>
      <c r="C16" s="7" t="s">
        <v>257</v>
      </c>
      <c r="D16" s="7" t="s">
        <v>282</v>
      </c>
      <c r="E16" s="7" t="s">
        <v>78</v>
      </c>
      <c r="F16" s="7">
        <v>9</v>
      </c>
      <c r="G16" s="7">
        <v>1573</v>
      </c>
      <c r="H16" s="7" t="s">
        <v>264</v>
      </c>
      <c r="I16" s="7" t="s">
        <v>285</v>
      </c>
      <c r="J16" s="7">
        <v>623</v>
      </c>
      <c r="M16" s="7">
        <v>114</v>
      </c>
      <c r="N16" s="20">
        <v>45221</v>
      </c>
      <c r="O16" s="7" t="s">
        <v>305</v>
      </c>
      <c r="P16" s="7" t="s">
        <v>294</v>
      </c>
      <c r="Q16" s="7" t="s">
        <v>259</v>
      </c>
      <c r="R16" s="7">
        <v>8</v>
      </c>
      <c r="S16" s="7">
        <v>1800</v>
      </c>
      <c r="T16" s="7" t="s">
        <v>280</v>
      </c>
      <c r="U16" s="7" t="s">
        <v>265</v>
      </c>
      <c r="V16" s="7">
        <v>574</v>
      </c>
      <c r="W16" s="38"/>
    </row>
    <row r="17" spans="1:23" x14ac:dyDescent="0.25">
      <c r="A17" s="7">
        <v>197</v>
      </c>
      <c r="B17" s="20">
        <v>45304</v>
      </c>
      <c r="C17" s="7" t="s">
        <v>300</v>
      </c>
      <c r="D17" s="7" t="s">
        <v>291</v>
      </c>
      <c r="E17" s="7" t="s">
        <v>259</v>
      </c>
      <c r="F17" s="7">
        <v>8</v>
      </c>
      <c r="G17" s="7">
        <v>1764</v>
      </c>
      <c r="H17" s="7" t="s">
        <v>278</v>
      </c>
      <c r="I17" s="7" t="s">
        <v>285</v>
      </c>
      <c r="J17" s="7">
        <v>693</v>
      </c>
      <c r="M17" s="7">
        <v>245</v>
      </c>
      <c r="N17" s="20">
        <v>45352</v>
      </c>
      <c r="O17" s="7" t="s">
        <v>311</v>
      </c>
      <c r="P17" s="7" t="s">
        <v>291</v>
      </c>
      <c r="Q17" s="7" t="s">
        <v>75</v>
      </c>
      <c r="R17" s="7">
        <v>8</v>
      </c>
      <c r="S17" s="7">
        <v>1778</v>
      </c>
      <c r="T17" s="7" t="s">
        <v>264</v>
      </c>
      <c r="U17" s="7" t="s">
        <v>261</v>
      </c>
      <c r="V17" s="7">
        <v>588</v>
      </c>
      <c r="W17" s="38"/>
    </row>
    <row r="18" spans="1:23" x14ac:dyDescent="0.25">
      <c r="A18" s="7">
        <v>142</v>
      </c>
      <c r="B18" s="20">
        <v>45249</v>
      </c>
      <c r="C18" s="7" t="s">
        <v>316</v>
      </c>
      <c r="D18" s="7" t="s">
        <v>291</v>
      </c>
      <c r="E18" s="7" t="s">
        <v>75</v>
      </c>
      <c r="F18" s="7">
        <v>8</v>
      </c>
      <c r="G18" s="7">
        <v>1681</v>
      </c>
      <c r="H18" s="7" t="s">
        <v>296</v>
      </c>
      <c r="I18" s="7" t="s">
        <v>265</v>
      </c>
      <c r="J18" s="7">
        <v>765</v>
      </c>
      <c r="M18" s="7">
        <v>191</v>
      </c>
      <c r="N18" s="20">
        <v>45298</v>
      </c>
      <c r="O18" s="7" t="s">
        <v>257</v>
      </c>
      <c r="P18" s="7" t="s">
        <v>282</v>
      </c>
      <c r="Q18" s="7" t="s">
        <v>78</v>
      </c>
      <c r="R18" s="7">
        <v>9</v>
      </c>
      <c r="S18" s="7">
        <v>1573</v>
      </c>
      <c r="T18" s="7" t="s">
        <v>264</v>
      </c>
      <c r="U18" s="7" t="s">
        <v>285</v>
      </c>
      <c r="V18" s="7">
        <v>623</v>
      </c>
      <c r="W18" s="38"/>
    </row>
    <row r="19" spans="1:23" x14ac:dyDescent="0.25">
      <c r="A19" s="7">
        <v>283</v>
      </c>
      <c r="B19" s="20">
        <v>45390</v>
      </c>
      <c r="C19" s="7" t="s">
        <v>301</v>
      </c>
      <c r="D19" s="7" t="s">
        <v>274</v>
      </c>
      <c r="E19" s="7" t="s">
        <v>78</v>
      </c>
      <c r="F19" s="7">
        <v>8</v>
      </c>
      <c r="G19" s="7">
        <v>1649</v>
      </c>
      <c r="H19" s="7" t="s">
        <v>278</v>
      </c>
      <c r="I19" s="7" t="s">
        <v>261</v>
      </c>
      <c r="J19" s="7">
        <v>810</v>
      </c>
      <c r="M19" s="7">
        <v>24</v>
      </c>
      <c r="N19" s="20">
        <v>45131</v>
      </c>
      <c r="O19" s="7" t="s">
        <v>276</v>
      </c>
      <c r="P19" s="7" t="s">
        <v>274</v>
      </c>
      <c r="Q19" s="7" t="s">
        <v>75</v>
      </c>
      <c r="R19" s="7">
        <v>8</v>
      </c>
      <c r="S19" s="7">
        <v>1623</v>
      </c>
      <c r="T19" s="7" t="s">
        <v>280</v>
      </c>
      <c r="U19" s="7" t="s">
        <v>285</v>
      </c>
      <c r="V19" s="7">
        <v>846</v>
      </c>
      <c r="W19" s="38"/>
    </row>
    <row r="20" spans="1:23" x14ac:dyDescent="0.25">
      <c r="A20" s="7">
        <v>24</v>
      </c>
      <c r="B20" s="20">
        <v>45131</v>
      </c>
      <c r="C20" s="7" t="s">
        <v>276</v>
      </c>
      <c r="D20" s="7" t="s">
        <v>274</v>
      </c>
      <c r="E20" s="7" t="s">
        <v>75</v>
      </c>
      <c r="F20" s="7">
        <v>8</v>
      </c>
      <c r="G20" s="7">
        <v>1623</v>
      </c>
      <c r="H20" s="7" t="s">
        <v>280</v>
      </c>
      <c r="I20" s="7" t="s">
        <v>285</v>
      </c>
      <c r="J20" s="7">
        <v>846</v>
      </c>
      <c r="M20" s="7">
        <v>19</v>
      </c>
      <c r="N20" s="20">
        <v>45126</v>
      </c>
      <c r="O20" s="7" t="s">
        <v>287</v>
      </c>
      <c r="P20" s="7" t="s">
        <v>294</v>
      </c>
      <c r="Q20" s="7" t="s">
        <v>259</v>
      </c>
      <c r="R20" s="7">
        <v>9</v>
      </c>
      <c r="S20" s="7">
        <v>1411</v>
      </c>
      <c r="T20" s="7" t="s">
        <v>264</v>
      </c>
      <c r="U20" s="7" t="s">
        <v>285</v>
      </c>
      <c r="V20" s="7">
        <v>870</v>
      </c>
      <c r="W20" s="38"/>
    </row>
    <row r="21" spans="1:23" x14ac:dyDescent="0.25">
      <c r="A21" s="7">
        <v>19</v>
      </c>
      <c r="B21" s="20">
        <v>45126</v>
      </c>
      <c r="C21" s="7" t="s">
        <v>287</v>
      </c>
      <c r="D21" s="7" t="s">
        <v>294</v>
      </c>
      <c r="E21" s="7" t="s">
        <v>259</v>
      </c>
      <c r="F21" s="7">
        <v>9</v>
      </c>
      <c r="G21" s="7">
        <v>1411</v>
      </c>
      <c r="H21" s="7" t="s">
        <v>264</v>
      </c>
      <c r="I21" s="7" t="s">
        <v>285</v>
      </c>
      <c r="J21" s="7">
        <v>870</v>
      </c>
      <c r="M21" s="7">
        <v>240</v>
      </c>
      <c r="N21" s="20">
        <v>45347</v>
      </c>
      <c r="O21" s="7" t="s">
        <v>292</v>
      </c>
      <c r="P21" s="7" t="s">
        <v>291</v>
      </c>
      <c r="Q21" s="7" t="s">
        <v>75</v>
      </c>
      <c r="R21" s="7">
        <v>9</v>
      </c>
      <c r="S21" s="7">
        <v>1323</v>
      </c>
      <c r="T21" s="7" t="s">
        <v>280</v>
      </c>
      <c r="U21" s="7" t="s">
        <v>265</v>
      </c>
      <c r="V21" s="7">
        <v>920</v>
      </c>
      <c r="W21" s="38"/>
    </row>
    <row r="22" spans="1:23" x14ac:dyDescent="0.25">
      <c r="A22" s="7">
        <v>13</v>
      </c>
      <c r="B22" s="20">
        <v>45120</v>
      </c>
      <c r="C22" s="7" t="s">
        <v>288</v>
      </c>
      <c r="D22" s="7" t="s">
        <v>274</v>
      </c>
      <c r="E22" s="7" t="s">
        <v>75</v>
      </c>
      <c r="F22" s="7">
        <v>9</v>
      </c>
      <c r="G22" s="7">
        <v>1387</v>
      </c>
      <c r="H22" s="7" t="s">
        <v>278</v>
      </c>
      <c r="I22" s="7" t="s">
        <v>261</v>
      </c>
      <c r="J22" s="7">
        <v>877</v>
      </c>
      <c r="M22" s="7">
        <v>2</v>
      </c>
      <c r="N22" s="20">
        <v>45109</v>
      </c>
      <c r="O22" s="7" t="s">
        <v>262</v>
      </c>
      <c r="P22" s="7" t="s">
        <v>263</v>
      </c>
      <c r="Q22" s="7" t="s">
        <v>75</v>
      </c>
      <c r="R22" s="7">
        <v>6</v>
      </c>
      <c r="S22" s="7">
        <v>1890</v>
      </c>
      <c r="T22" s="7" t="s">
        <v>264</v>
      </c>
      <c r="U22" s="7" t="s">
        <v>265</v>
      </c>
      <c r="V22" s="7">
        <v>1002</v>
      </c>
      <c r="W22" s="38"/>
    </row>
    <row r="23" spans="1:23" x14ac:dyDescent="0.25">
      <c r="A23" s="7">
        <v>217</v>
      </c>
      <c r="B23" s="20">
        <v>45324</v>
      </c>
      <c r="C23" s="7" t="s">
        <v>293</v>
      </c>
      <c r="D23" s="7" t="s">
        <v>282</v>
      </c>
      <c r="E23" s="7" t="s">
        <v>78</v>
      </c>
      <c r="F23" s="7">
        <v>7</v>
      </c>
      <c r="G23" s="7">
        <v>1736</v>
      </c>
      <c r="H23" s="7" t="s">
        <v>275</v>
      </c>
      <c r="I23" s="7" t="s">
        <v>265</v>
      </c>
      <c r="J23" s="7">
        <v>893</v>
      </c>
      <c r="M23" s="7">
        <v>65</v>
      </c>
      <c r="N23" s="20">
        <v>45172</v>
      </c>
      <c r="O23" s="7" t="s">
        <v>313</v>
      </c>
      <c r="P23" s="7" t="s">
        <v>320</v>
      </c>
      <c r="Q23" s="7" t="s">
        <v>75</v>
      </c>
      <c r="R23" s="7">
        <v>9</v>
      </c>
      <c r="S23" s="7">
        <v>1176</v>
      </c>
      <c r="T23" s="7" t="s">
        <v>280</v>
      </c>
      <c r="U23" s="7" t="s">
        <v>261</v>
      </c>
      <c r="V23" s="7">
        <v>1033</v>
      </c>
      <c r="W23" s="38"/>
    </row>
    <row r="24" spans="1:23" x14ac:dyDescent="0.25">
      <c r="A24" s="7">
        <v>11</v>
      </c>
      <c r="B24" s="20">
        <v>45118</v>
      </c>
      <c r="C24" s="7" t="s">
        <v>283</v>
      </c>
      <c r="D24" s="7" t="s">
        <v>282</v>
      </c>
      <c r="E24" s="7" t="s">
        <v>259</v>
      </c>
      <c r="F24" s="7">
        <v>7</v>
      </c>
      <c r="G24" s="7">
        <v>1727</v>
      </c>
      <c r="H24" s="7" t="s">
        <v>286</v>
      </c>
      <c r="I24" s="7" t="s">
        <v>261</v>
      </c>
      <c r="J24" s="7">
        <v>904</v>
      </c>
      <c r="M24" s="7">
        <v>221</v>
      </c>
      <c r="N24" s="20">
        <v>45328</v>
      </c>
      <c r="O24" s="7" t="s">
        <v>309</v>
      </c>
      <c r="P24" s="7" t="s">
        <v>258</v>
      </c>
      <c r="Q24" s="7" t="s">
        <v>75</v>
      </c>
      <c r="R24" s="7">
        <v>9</v>
      </c>
      <c r="S24" s="7">
        <v>1140</v>
      </c>
      <c r="T24" s="7" t="s">
        <v>280</v>
      </c>
      <c r="U24" s="7" t="s">
        <v>272</v>
      </c>
      <c r="V24" s="7">
        <v>1064</v>
      </c>
      <c r="W24" s="38"/>
    </row>
    <row r="25" spans="1:23" x14ac:dyDescent="0.25">
      <c r="A25" s="7">
        <v>240</v>
      </c>
      <c r="B25" s="20">
        <v>45347</v>
      </c>
      <c r="C25" s="7" t="s">
        <v>292</v>
      </c>
      <c r="D25" s="7" t="s">
        <v>291</v>
      </c>
      <c r="E25" s="7" t="s">
        <v>75</v>
      </c>
      <c r="F25" s="7">
        <v>9</v>
      </c>
      <c r="G25" s="7">
        <v>1323</v>
      </c>
      <c r="H25" s="7" t="s">
        <v>280</v>
      </c>
      <c r="I25" s="7" t="s">
        <v>265</v>
      </c>
      <c r="J25" s="7">
        <v>920</v>
      </c>
      <c r="M25" s="7">
        <v>279</v>
      </c>
      <c r="N25" s="20">
        <v>45386</v>
      </c>
      <c r="O25" s="7" t="s">
        <v>303</v>
      </c>
      <c r="P25" s="7" t="s">
        <v>320</v>
      </c>
      <c r="Q25" s="7" t="s">
        <v>75</v>
      </c>
      <c r="R25" s="7">
        <v>6</v>
      </c>
      <c r="S25" s="7">
        <v>1566</v>
      </c>
      <c r="T25" s="7" t="s">
        <v>280</v>
      </c>
      <c r="U25" s="7" t="s">
        <v>272</v>
      </c>
      <c r="V25" s="7">
        <v>1208</v>
      </c>
      <c r="W25" s="38"/>
    </row>
    <row r="26" spans="1:23" x14ac:dyDescent="0.25">
      <c r="A26" s="7">
        <v>146</v>
      </c>
      <c r="B26" s="20">
        <v>45253</v>
      </c>
      <c r="C26" s="7" t="s">
        <v>311</v>
      </c>
      <c r="D26" s="7" t="s">
        <v>282</v>
      </c>
      <c r="E26" s="7" t="s">
        <v>259</v>
      </c>
      <c r="F26" s="7">
        <v>6</v>
      </c>
      <c r="G26" s="7">
        <v>1945</v>
      </c>
      <c r="H26" s="7" t="s">
        <v>284</v>
      </c>
      <c r="I26" s="7" t="s">
        <v>269</v>
      </c>
      <c r="J26" s="7">
        <v>924</v>
      </c>
      <c r="M26" s="7">
        <v>284</v>
      </c>
      <c r="N26" s="20">
        <v>45391</v>
      </c>
      <c r="O26" s="7" t="s">
        <v>329</v>
      </c>
      <c r="P26" s="7" t="s">
        <v>299</v>
      </c>
      <c r="Q26" s="7" t="s">
        <v>78</v>
      </c>
      <c r="R26" s="7">
        <v>7</v>
      </c>
      <c r="S26" s="7">
        <v>1282</v>
      </c>
      <c r="T26" s="7" t="s">
        <v>264</v>
      </c>
      <c r="U26" s="7" t="s">
        <v>265</v>
      </c>
      <c r="V26" s="7">
        <v>1332</v>
      </c>
      <c r="W26" s="38"/>
    </row>
    <row r="27" spans="1:23" x14ac:dyDescent="0.25">
      <c r="A27" s="7">
        <v>241</v>
      </c>
      <c r="B27" s="20">
        <v>45348</v>
      </c>
      <c r="C27" s="7" t="s">
        <v>283</v>
      </c>
      <c r="D27" s="7" t="s">
        <v>299</v>
      </c>
      <c r="E27" s="7" t="s">
        <v>78</v>
      </c>
      <c r="F27" s="7">
        <v>7</v>
      </c>
      <c r="G27" s="7">
        <v>1660</v>
      </c>
      <c r="H27" s="7" t="s">
        <v>286</v>
      </c>
      <c r="I27" s="7" t="s">
        <v>261</v>
      </c>
      <c r="J27" s="7">
        <v>927</v>
      </c>
      <c r="M27" s="7">
        <v>285</v>
      </c>
      <c r="N27" s="20">
        <v>45392</v>
      </c>
      <c r="O27" s="7" t="s">
        <v>309</v>
      </c>
      <c r="P27" s="7" t="s">
        <v>282</v>
      </c>
      <c r="Q27" s="7" t="s">
        <v>78</v>
      </c>
      <c r="R27" s="7">
        <v>7</v>
      </c>
      <c r="S27" s="7">
        <v>1275</v>
      </c>
      <c r="T27" s="7" t="s">
        <v>264</v>
      </c>
      <c r="U27" s="7" t="s">
        <v>261</v>
      </c>
      <c r="V27" s="7">
        <v>1344</v>
      </c>
      <c r="W27" s="38"/>
    </row>
    <row r="28" spans="1:23" x14ac:dyDescent="0.25">
      <c r="A28" s="7">
        <v>300</v>
      </c>
      <c r="B28" s="20">
        <v>45407</v>
      </c>
      <c r="C28" s="7" t="s">
        <v>273</v>
      </c>
      <c r="D28" s="7" t="s">
        <v>263</v>
      </c>
      <c r="E28" s="7" t="s">
        <v>259</v>
      </c>
      <c r="F28" s="7">
        <v>7</v>
      </c>
      <c r="G28" s="7">
        <v>1650</v>
      </c>
      <c r="H28" s="7" t="s">
        <v>284</v>
      </c>
      <c r="I28" s="7" t="s">
        <v>269</v>
      </c>
      <c r="J28" s="7">
        <v>942</v>
      </c>
      <c r="M28" s="7">
        <v>147</v>
      </c>
      <c r="N28" s="20">
        <v>45254</v>
      </c>
      <c r="O28" s="7" t="s">
        <v>266</v>
      </c>
      <c r="P28" s="7" t="s">
        <v>263</v>
      </c>
      <c r="Q28" s="7" t="s">
        <v>75</v>
      </c>
      <c r="R28" s="7">
        <v>6</v>
      </c>
      <c r="S28" s="7">
        <v>1486</v>
      </c>
      <c r="T28" s="7" t="s">
        <v>280</v>
      </c>
      <c r="U28" s="7" t="s">
        <v>272</v>
      </c>
      <c r="V28" s="7">
        <v>1355</v>
      </c>
      <c r="W28" s="38"/>
    </row>
    <row r="29" spans="1:23" x14ac:dyDescent="0.25">
      <c r="A29" s="7">
        <v>115</v>
      </c>
      <c r="B29" s="20">
        <v>45222</v>
      </c>
      <c r="C29" s="7" t="s">
        <v>257</v>
      </c>
      <c r="D29" s="7" t="s">
        <v>291</v>
      </c>
      <c r="E29" s="7" t="s">
        <v>75</v>
      </c>
      <c r="F29" s="7">
        <v>9</v>
      </c>
      <c r="G29" s="7">
        <v>1276</v>
      </c>
      <c r="H29" s="7" t="s">
        <v>278</v>
      </c>
      <c r="I29" s="7" t="s">
        <v>261</v>
      </c>
      <c r="J29" s="7">
        <v>990</v>
      </c>
      <c r="M29" s="7">
        <v>119</v>
      </c>
      <c r="N29" s="20">
        <v>45226</v>
      </c>
      <c r="O29" s="7" t="s">
        <v>311</v>
      </c>
      <c r="P29" s="7" t="s">
        <v>299</v>
      </c>
      <c r="Q29" s="7" t="s">
        <v>78</v>
      </c>
      <c r="R29" s="7">
        <v>5</v>
      </c>
      <c r="S29" s="7">
        <v>1722</v>
      </c>
      <c r="T29" s="7" t="s">
        <v>264</v>
      </c>
      <c r="U29" s="7" t="s">
        <v>285</v>
      </c>
      <c r="V29" s="7">
        <v>1379</v>
      </c>
      <c r="W29" s="38"/>
    </row>
    <row r="30" spans="1:23" x14ac:dyDescent="0.25">
      <c r="A30" s="7">
        <v>174</v>
      </c>
      <c r="B30" s="20">
        <v>45281</v>
      </c>
      <c r="C30" s="7" t="s">
        <v>321</v>
      </c>
      <c r="D30" s="7" t="s">
        <v>320</v>
      </c>
      <c r="E30" s="7" t="s">
        <v>78</v>
      </c>
      <c r="F30" s="7">
        <v>8</v>
      </c>
      <c r="G30" s="7">
        <v>1435</v>
      </c>
      <c r="H30" s="7" t="s">
        <v>278</v>
      </c>
      <c r="I30" s="7" t="s">
        <v>285</v>
      </c>
      <c r="J30" s="7">
        <v>990</v>
      </c>
      <c r="M30" s="7">
        <v>156</v>
      </c>
      <c r="N30" s="20">
        <v>45263</v>
      </c>
      <c r="O30" s="7" t="s">
        <v>313</v>
      </c>
      <c r="P30" s="7" t="s">
        <v>274</v>
      </c>
      <c r="Q30" s="7" t="s">
        <v>78</v>
      </c>
      <c r="R30" s="7">
        <v>4</v>
      </c>
      <c r="S30" s="7">
        <v>1902</v>
      </c>
      <c r="T30" s="7" t="s">
        <v>264</v>
      </c>
      <c r="U30" s="7" t="s">
        <v>265</v>
      </c>
      <c r="V30" s="7">
        <v>1580</v>
      </c>
      <c r="W30" s="38"/>
    </row>
    <row r="31" spans="1:23" x14ac:dyDescent="0.25">
      <c r="A31" s="7">
        <v>207</v>
      </c>
      <c r="B31" s="20">
        <v>45314</v>
      </c>
      <c r="C31" s="7" t="s">
        <v>303</v>
      </c>
      <c r="D31" s="7" t="s">
        <v>274</v>
      </c>
      <c r="E31" s="7" t="s">
        <v>78</v>
      </c>
      <c r="F31" s="7">
        <v>7</v>
      </c>
      <c r="G31" s="7">
        <v>1621</v>
      </c>
      <c r="H31" s="7" t="s">
        <v>268</v>
      </c>
      <c r="I31" s="7" t="s">
        <v>269</v>
      </c>
      <c r="J31" s="7">
        <v>999</v>
      </c>
      <c r="M31" s="7">
        <v>138</v>
      </c>
      <c r="N31" s="20">
        <v>45245</v>
      </c>
      <c r="O31" s="7" t="s">
        <v>314</v>
      </c>
      <c r="P31" s="7" t="s">
        <v>294</v>
      </c>
      <c r="Q31" s="7" t="s">
        <v>259</v>
      </c>
      <c r="R31" s="7">
        <v>7</v>
      </c>
      <c r="S31" s="7">
        <v>1080</v>
      </c>
      <c r="T31" s="7" t="s">
        <v>280</v>
      </c>
      <c r="U31" s="7" t="s">
        <v>272</v>
      </c>
      <c r="V31" s="7">
        <v>1608</v>
      </c>
      <c r="W31" s="38"/>
    </row>
    <row r="32" spans="1:23" x14ac:dyDescent="0.25">
      <c r="A32" s="7">
        <v>2</v>
      </c>
      <c r="B32" s="20">
        <v>45109</v>
      </c>
      <c r="C32" s="7" t="s">
        <v>262</v>
      </c>
      <c r="D32" s="7" t="s">
        <v>263</v>
      </c>
      <c r="E32" s="7" t="s">
        <v>75</v>
      </c>
      <c r="F32" s="7">
        <v>6</v>
      </c>
      <c r="G32" s="7">
        <v>1890</v>
      </c>
      <c r="H32" s="7" t="s">
        <v>264</v>
      </c>
      <c r="I32" s="7" t="s">
        <v>265</v>
      </c>
      <c r="J32" s="7">
        <v>1002</v>
      </c>
      <c r="M32" s="7">
        <v>176</v>
      </c>
      <c r="N32" s="20">
        <v>45283</v>
      </c>
      <c r="O32" s="7" t="s">
        <v>306</v>
      </c>
      <c r="P32" s="7" t="s">
        <v>263</v>
      </c>
      <c r="Q32" s="7" t="s">
        <v>75</v>
      </c>
      <c r="R32" s="7">
        <v>4</v>
      </c>
      <c r="S32" s="7">
        <v>1885</v>
      </c>
      <c r="T32" s="7" t="s">
        <v>264</v>
      </c>
      <c r="U32" s="7" t="s">
        <v>265</v>
      </c>
      <c r="V32" s="7">
        <v>1621</v>
      </c>
      <c r="W32" s="38"/>
    </row>
    <row r="33" spans="1:23" x14ac:dyDescent="0.25">
      <c r="A33" s="7">
        <v>151</v>
      </c>
      <c r="B33" s="20">
        <v>45258</v>
      </c>
      <c r="C33" s="7" t="s">
        <v>330</v>
      </c>
      <c r="D33" s="7" t="s">
        <v>291</v>
      </c>
      <c r="E33" s="7" t="s">
        <v>78</v>
      </c>
      <c r="F33" s="7">
        <v>8</v>
      </c>
      <c r="G33" s="7">
        <v>1415</v>
      </c>
      <c r="H33" s="7" t="s">
        <v>278</v>
      </c>
      <c r="I33" s="7" t="s">
        <v>265</v>
      </c>
      <c r="J33" s="7">
        <v>1005</v>
      </c>
      <c r="M33" s="7">
        <v>181</v>
      </c>
      <c r="N33" s="20">
        <v>45288</v>
      </c>
      <c r="O33" s="7" t="s">
        <v>283</v>
      </c>
      <c r="P33" s="7" t="s">
        <v>320</v>
      </c>
      <c r="Q33" s="7" t="s">
        <v>259</v>
      </c>
      <c r="R33" s="7">
        <v>4</v>
      </c>
      <c r="S33" s="7">
        <v>1862</v>
      </c>
      <c r="T33" s="7" t="s">
        <v>264</v>
      </c>
      <c r="U33" s="7" t="s">
        <v>272</v>
      </c>
      <c r="V33" s="7">
        <v>1642</v>
      </c>
      <c r="W33" s="38"/>
    </row>
    <row r="34" spans="1:23" x14ac:dyDescent="0.25">
      <c r="A34" s="7">
        <v>131</v>
      </c>
      <c r="B34" s="20">
        <v>45238</v>
      </c>
      <c r="C34" s="7" t="s">
        <v>292</v>
      </c>
      <c r="D34" s="7" t="s">
        <v>267</v>
      </c>
      <c r="E34" s="7" t="s">
        <v>259</v>
      </c>
      <c r="F34" s="7">
        <v>6</v>
      </c>
      <c r="G34" s="7">
        <v>1872</v>
      </c>
      <c r="H34" s="7" t="s">
        <v>260</v>
      </c>
      <c r="I34" s="7" t="s">
        <v>265</v>
      </c>
      <c r="J34" s="7">
        <v>1021</v>
      </c>
      <c r="M34" s="7">
        <v>166</v>
      </c>
      <c r="N34" s="20">
        <v>45273</v>
      </c>
      <c r="O34" s="7" t="s">
        <v>330</v>
      </c>
      <c r="P34" s="7" t="s">
        <v>320</v>
      </c>
      <c r="Q34" s="7" t="s">
        <v>78</v>
      </c>
      <c r="R34" s="7">
        <v>5</v>
      </c>
      <c r="S34" s="7">
        <v>1433</v>
      </c>
      <c r="T34" s="7" t="s">
        <v>280</v>
      </c>
      <c r="U34" s="7" t="s">
        <v>285</v>
      </c>
      <c r="V34" s="7">
        <v>1732</v>
      </c>
      <c r="W34" s="38"/>
    </row>
    <row r="35" spans="1:23" x14ac:dyDescent="0.25">
      <c r="A35" s="7">
        <v>90</v>
      </c>
      <c r="B35" s="20">
        <v>45197</v>
      </c>
      <c r="C35" s="7" t="s">
        <v>287</v>
      </c>
      <c r="D35" s="7" t="s">
        <v>299</v>
      </c>
      <c r="E35" s="7" t="s">
        <v>75</v>
      </c>
      <c r="F35" s="7">
        <v>8</v>
      </c>
      <c r="G35" s="7">
        <v>1324</v>
      </c>
      <c r="H35" s="7" t="s">
        <v>271</v>
      </c>
      <c r="I35" s="7" t="s">
        <v>269</v>
      </c>
      <c r="J35" s="7">
        <v>1024</v>
      </c>
      <c r="M35" s="7">
        <v>7</v>
      </c>
      <c r="N35" s="20">
        <v>45114</v>
      </c>
      <c r="O35" s="7" t="s">
        <v>257</v>
      </c>
      <c r="P35" s="7" t="s">
        <v>274</v>
      </c>
      <c r="Q35" s="7" t="s">
        <v>259</v>
      </c>
      <c r="R35" s="7">
        <v>5</v>
      </c>
      <c r="S35" s="7">
        <v>1352</v>
      </c>
      <c r="T35" s="7" t="s">
        <v>264</v>
      </c>
      <c r="U35" s="7" t="s">
        <v>265</v>
      </c>
      <c r="V35" s="7">
        <v>1874</v>
      </c>
      <c r="W35" s="38"/>
    </row>
    <row r="36" spans="1:23" x14ac:dyDescent="0.25">
      <c r="A36" s="7">
        <v>65</v>
      </c>
      <c r="B36" s="20">
        <v>45172</v>
      </c>
      <c r="C36" s="7" t="s">
        <v>313</v>
      </c>
      <c r="D36" s="7" t="s">
        <v>320</v>
      </c>
      <c r="E36" s="7" t="s">
        <v>75</v>
      </c>
      <c r="F36" s="7">
        <v>9</v>
      </c>
      <c r="G36" s="7">
        <v>1176</v>
      </c>
      <c r="H36" s="7" t="s">
        <v>280</v>
      </c>
      <c r="I36" s="7" t="s">
        <v>261</v>
      </c>
      <c r="J36" s="7">
        <v>1033</v>
      </c>
      <c r="M36" s="7">
        <v>12</v>
      </c>
      <c r="N36" s="20">
        <v>45119</v>
      </c>
      <c r="O36" s="7" t="s">
        <v>287</v>
      </c>
      <c r="P36" s="7" t="s">
        <v>263</v>
      </c>
      <c r="Q36" s="7" t="s">
        <v>259</v>
      </c>
      <c r="R36" s="7">
        <v>6</v>
      </c>
      <c r="S36" s="7">
        <v>1106</v>
      </c>
      <c r="T36" s="7" t="s">
        <v>280</v>
      </c>
      <c r="U36" s="7" t="s">
        <v>285</v>
      </c>
      <c r="V36" s="7">
        <v>2020</v>
      </c>
      <c r="W36" s="38"/>
    </row>
    <row r="37" spans="1:23" x14ac:dyDescent="0.25">
      <c r="A37" s="7">
        <v>9</v>
      </c>
      <c r="B37" s="20">
        <v>45116</v>
      </c>
      <c r="C37" s="7" t="s">
        <v>281</v>
      </c>
      <c r="D37" s="7" t="s">
        <v>282</v>
      </c>
      <c r="E37" s="7" t="s">
        <v>75</v>
      </c>
      <c r="F37" s="7">
        <v>9</v>
      </c>
      <c r="G37" s="7">
        <v>1174</v>
      </c>
      <c r="H37" s="7" t="s">
        <v>278</v>
      </c>
      <c r="I37" s="7" t="s">
        <v>265</v>
      </c>
      <c r="J37" s="7">
        <v>1035</v>
      </c>
      <c r="M37" s="7">
        <v>183</v>
      </c>
      <c r="N37" s="20">
        <v>45290</v>
      </c>
      <c r="O37" s="7" t="s">
        <v>302</v>
      </c>
      <c r="P37" s="7" t="s">
        <v>274</v>
      </c>
      <c r="Q37" s="7" t="s">
        <v>75</v>
      </c>
      <c r="R37" s="7">
        <v>4</v>
      </c>
      <c r="S37" s="7">
        <v>1614</v>
      </c>
      <c r="T37" s="7" t="s">
        <v>280</v>
      </c>
      <c r="U37" s="7" t="s">
        <v>285</v>
      </c>
      <c r="V37" s="7">
        <v>2094</v>
      </c>
      <c r="W37" s="38"/>
    </row>
    <row r="38" spans="1:23" x14ac:dyDescent="0.25">
      <c r="A38" s="7">
        <v>39</v>
      </c>
      <c r="B38" s="20">
        <v>45146</v>
      </c>
      <c r="C38" s="7" t="s">
        <v>309</v>
      </c>
      <c r="D38" s="7" t="s">
        <v>291</v>
      </c>
      <c r="E38" s="7" t="s">
        <v>75</v>
      </c>
      <c r="F38" s="7">
        <v>6</v>
      </c>
      <c r="G38" s="7">
        <v>1747</v>
      </c>
      <c r="H38" s="7" t="s">
        <v>296</v>
      </c>
      <c r="I38" s="7" t="s">
        <v>269</v>
      </c>
      <c r="J38" s="7">
        <v>1038</v>
      </c>
      <c r="M38" s="7">
        <v>41</v>
      </c>
      <c r="N38" s="20">
        <v>45148</v>
      </c>
      <c r="O38" s="7" t="s">
        <v>276</v>
      </c>
      <c r="P38" s="7" t="s">
        <v>274</v>
      </c>
      <c r="Q38" s="7" t="s">
        <v>78</v>
      </c>
      <c r="R38" s="7">
        <v>6</v>
      </c>
      <c r="S38" s="7">
        <v>1014</v>
      </c>
      <c r="T38" s="7" t="s">
        <v>264</v>
      </c>
      <c r="U38" s="7" t="s">
        <v>285</v>
      </c>
      <c r="V38" s="7">
        <v>2408</v>
      </c>
      <c r="W38" s="38"/>
    </row>
    <row r="39" spans="1:23" x14ac:dyDescent="0.25">
      <c r="A39" s="7">
        <v>221</v>
      </c>
      <c r="B39" s="20">
        <v>45328</v>
      </c>
      <c r="C39" s="7" t="s">
        <v>309</v>
      </c>
      <c r="D39" s="7" t="s">
        <v>258</v>
      </c>
      <c r="E39" s="7" t="s">
        <v>75</v>
      </c>
      <c r="F39" s="7">
        <v>9</v>
      </c>
      <c r="G39" s="7">
        <v>1140</v>
      </c>
      <c r="H39" s="7" t="s">
        <v>280</v>
      </c>
      <c r="I39" s="7" t="s">
        <v>272</v>
      </c>
      <c r="J39" s="7">
        <v>1064</v>
      </c>
      <c r="M39" s="7">
        <v>196</v>
      </c>
      <c r="N39" s="20">
        <v>45303</v>
      </c>
      <c r="O39" s="7" t="s">
        <v>309</v>
      </c>
      <c r="P39" s="7" t="s">
        <v>274</v>
      </c>
      <c r="Q39" s="7" t="s">
        <v>259</v>
      </c>
      <c r="R39" s="7">
        <v>5</v>
      </c>
      <c r="S39" s="7">
        <v>1140</v>
      </c>
      <c r="T39" s="7" t="s">
        <v>280</v>
      </c>
      <c r="U39" s="7" t="s">
        <v>285</v>
      </c>
      <c r="V39" s="7">
        <v>2820</v>
      </c>
      <c r="W39" s="38"/>
    </row>
    <row r="40" spans="1:23" x14ac:dyDescent="0.25">
      <c r="A40" s="7">
        <v>42</v>
      </c>
      <c r="B40" s="20">
        <v>45149</v>
      </c>
      <c r="C40" s="7" t="s">
        <v>311</v>
      </c>
      <c r="D40" s="7" t="s">
        <v>258</v>
      </c>
      <c r="E40" s="7" t="s">
        <v>75</v>
      </c>
      <c r="F40" s="7">
        <v>6</v>
      </c>
      <c r="G40" s="7">
        <v>1671</v>
      </c>
      <c r="H40" s="7" t="s">
        <v>275</v>
      </c>
      <c r="I40" s="7" t="s">
        <v>285</v>
      </c>
      <c r="J40" s="7">
        <v>1080</v>
      </c>
      <c r="M40" s="7">
        <v>129</v>
      </c>
      <c r="N40" s="20">
        <v>45236</v>
      </c>
      <c r="O40" s="7" t="s">
        <v>295</v>
      </c>
      <c r="P40" s="7" t="s">
        <v>274</v>
      </c>
      <c r="Q40" s="7" t="s">
        <v>75</v>
      </c>
      <c r="R40" s="7">
        <v>8</v>
      </c>
      <c r="S40" s="7">
        <v>709</v>
      </c>
      <c r="T40" s="7" t="s">
        <v>264</v>
      </c>
      <c r="U40" s="7" t="s">
        <v>269</v>
      </c>
      <c r="V40" s="7">
        <v>2835</v>
      </c>
      <c r="W40" s="38"/>
    </row>
    <row r="41" spans="1:23" x14ac:dyDescent="0.25">
      <c r="A41" s="7">
        <v>248</v>
      </c>
      <c r="B41" s="20">
        <v>45355</v>
      </c>
      <c r="C41" s="7" t="s">
        <v>262</v>
      </c>
      <c r="D41" s="7" t="s">
        <v>277</v>
      </c>
      <c r="E41" s="7" t="s">
        <v>75</v>
      </c>
      <c r="F41" s="7">
        <v>6</v>
      </c>
      <c r="G41" s="7">
        <v>1661</v>
      </c>
      <c r="H41" s="7" t="s">
        <v>275</v>
      </c>
      <c r="I41" s="7" t="s">
        <v>265</v>
      </c>
      <c r="J41" s="7">
        <v>1084</v>
      </c>
      <c r="M41" s="7">
        <v>30</v>
      </c>
      <c r="N41" s="20">
        <v>45137</v>
      </c>
      <c r="O41" s="7" t="s">
        <v>303</v>
      </c>
      <c r="P41" s="7" t="s">
        <v>263</v>
      </c>
      <c r="Q41" s="7" t="s">
        <v>75</v>
      </c>
      <c r="R41" s="7">
        <v>6</v>
      </c>
      <c r="S41" s="7">
        <v>922</v>
      </c>
      <c r="T41" s="7" t="s">
        <v>264</v>
      </c>
      <c r="U41" s="7" t="s">
        <v>265</v>
      </c>
      <c r="V41" s="7">
        <v>2964</v>
      </c>
      <c r="W41" s="38"/>
    </row>
    <row r="42" spans="1:23" x14ac:dyDescent="0.25">
      <c r="A42" s="7">
        <v>43</v>
      </c>
      <c r="B42" s="20">
        <v>45150</v>
      </c>
      <c r="C42" s="7" t="s">
        <v>257</v>
      </c>
      <c r="D42" s="7" t="s">
        <v>274</v>
      </c>
      <c r="E42" s="7" t="s">
        <v>78</v>
      </c>
      <c r="F42" s="7">
        <v>7</v>
      </c>
      <c r="G42" s="7">
        <v>1408</v>
      </c>
      <c r="H42" s="7" t="s">
        <v>260</v>
      </c>
      <c r="I42" s="7" t="s">
        <v>269</v>
      </c>
      <c r="J42" s="7">
        <v>1085</v>
      </c>
      <c r="M42" s="7">
        <v>148</v>
      </c>
      <c r="N42" s="20">
        <v>45255</v>
      </c>
      <c r="O42" s="7" t="s">
        <v>266</v>
      </c>
      <c r="P42" s="7" t="s">
        <v>277</v>
      </c>
      <c r="Q42" s="7" t="s">
        <v>75</v>
      </c>
      <c r="R42" s="7">
        <v>3</v>
      </c>
      <c r="S42" s="7">
        <v>1828</v>
      </c>
      <c r="T42" s="7" t="s">
        <v>280</v>
      </c>
      <c r="U42" s="7" t="s">
        <v>261</v>
      </c>
      <c r="V42" s="7">
        <v>3052</v>
      </c>
      <c r="W42" s="38"/>
    </row>
    <row r="43" spans="1:23" x14ac:dyDescent="0.25">
      <c r="A43" s="7">
        <v>88</v>
      </c>
      <c r="B43" s="20">
        <v>45195</v>
      </c>
      <c r="C43" s="7" t="s">
        <v>312</v>
      </c>
      <c r="D43" s="7" t="s">
        <v>267</v>
      </c>
      <c r="E43" s="7" t="s">
        <v>75</v>
      </c>
      <c r="F43" s="7">
        <v>7</v>
      </c>
      <c r="G43" s="7">
        <v>1404</v>
      </c>
      <c r="H43" s="7" t="s">
        <v>286</v>
      </c>
      <c r="I43" s="7" t="s">
        <v>272</v>
      </c>
      <c r="J43" s="7">
        <v>1094</v>
      </c>
      <c r="M43" s="7">
        <v>220</v>
      </c>
      <c r="N43" s="20">
        <v>45327</v>
      </c>
      <c r="O43" s="7" t="s">
        <v>281</v>
      </c>
      <c r="P43" s="7" t="s">
        <v>299</v>
      </c>
      <c r="Q43" s="7" t="s">
        <v>78</v>
      </c>
      <c r="R43" s="7">
        <v>5</v>
      </c>
      <c r="S43" s="7">
        <v>1056</v>
      </c>
      <c r="T43" s="7" t="s">
        <v>264</v>
      </c>
      <c r="U43" s="7" t="s">
        <v>265</v>
      </c>
      <c r="V43" s="7">
        <v>3200</v>
      </c>
      <c r="W43" s="38"/>
    </row>
    <row r="44" spans="1:23" x14ac:dyDescent="0.25">
      <c r="A44" s="7">
        <v>186</v>
      </c>
      <c r="B44" s="20">
        <v>45293</v>
      </c>
      <c r="C44" s="7" t="s">
        <v>328</v>
      </c>
      <c r="D44" s="7" t="s">
        <v>267</v>
      </c>
      <c r="E44" s="7" t="s">
        <v>259</v>
      </c>
      <c r="F44" s="7">
        <v>6</v>
      </c>
      <c r="G44" s="7">
        <v>1630</v>
      </c>
      <c r="H44" s="7" t="s">
        <v>278</v>
      </c>
      <c r="I44" s="7" t="s">
        <v>285</v>
      </c>
      <c r="J44" s="7">
        <v>1101</v>
      </c>
      <c r="M44" s="7">
        <v>86</v>
      </c>
      <c r="N44" s="20">
        <v>45193</v>
      </c>
      <c r="O44" s="7" t="s">
        <v>307</v>
      </c>
      <c r="P44" s="7" t="s">
        <v>282</v>
      </c>
      <c r="Q44" s="7" t="s">
        <v>75</v>
      </c>
      <c r="R44" s="7">
        <v>8</v>
      </c>
      <c r="S44" s="7">
        <v>651</v>
      </c>
      <c r="T44" s="7" t="s">
        <v>264</v>
      </c>
      <c r="U44" s="7" t="s">
        <v>272</v>
      </c>
      <c r="V44" s="7">
        <v>3248</v>
      </c>
      <c r="W44" s="38"/>
    </row>
    <row r="45" spans="1:23" x14ac:dyDescent="0.25">
      <c r="A45" s="7">
        <v>226</v>
      </c>
      <c r="B45" s="20">
        <v>45333</v>
      </c>
      <c r="C45" s="7" t="s">
        <v>293</v>
      </c>
      <c r="D45" s="7" t="s">
        <v>258</v>
      </c>
      <c r="E45" s="7" t="s">
        <v>259</v>
      </c>
      <c r="F45" s="7">
        <v>5</v>
      </c>
      <c r="G45" s="7">
        <v>1938</v>
      </c>
      <c r="H45" s="7" t="s">
        <v>275</v>
      </c>
      <c r="I45" s="7" t="s">
        <v>285</v>
      </c>
      <c r="J45" s="7">
        <v>1102</v>
      </c>
      <c r="M45" s="7">
        <v>143</v>
      </c>
      <c r="N45" s="20">
        <v>45250</v>
      </c>
      <c r="O45" s="7" t="s">
        <v>314</v>
      </c>
      <c r="P45" s="7" t="s">
        <v>320</v>
      </c>
      <c r="Q45" s="7" t="s">
        <v>75</v>
      </c>
      <c r="R45" s="7">
        <v>3</v>
      </c>
      <c r="S45" s="7">
        <v>1699</v>
      </c>
      <c r="T45" s="7" t="s">
        <v>280</v>
      </c>
      <c r="U45" s="7" t="s">
        <v>261</v>
      </c>
      <c r="V45" s="7">
        <v>3252</v>
      </c>
      <c r="W45" s="38"/>
    </row>
    <row r="46" spans="1:23" x14ac:dyDescent="0.25">
      <c r="A46" s="7">
        <v>212</v>
      </c>
      <c r="B46" s="20">
        <v>45319</v>
      </c>
      <c r="C46" s="7" t="s">
        <v>303</v>
      </c>
      <c r="D46" s="7" t="s">
        <v>320</v>
      </c>
      <c r="E46" s="7" t="s">
        <v>78</v>
      </c>
      <c r="F46" s="7">
        <v>6</v>
      </c>
      <c r="G46" s="7">
        <v>1601</v>
      </c>
      <c r="H46" s="7" t="s">
        <v>296</v>
      </c>
      <c r="I46" s="7" t="s">
        <v>261</v>
      </c>
      <c r="J46" s="7">
        <v>1104</v>
      </c>
      <c r="M46" s="7">
        <v>68</v>
      </c>
      <c r="N46" s="20">
        <v>45175</v>
      </c>
      <c r="O46" s="7" t="s">
        <v>305</v>
      </c>
      <c r="P46" s="7" t="s">
        <v>267</v>
      </c>
      <c r="Q46" s="7" t="s">
        <v>259</v>
      </c>
      <c r="R46" s="7">
        <v>3</v>
      </c>
      <c r="S46" s="7">
        <v>1623</v>
      </c>
      <c r="T46" s="7" t="s">
        <v>280</v>
      </c>
      <c r="U46" s="7" t="s">
        <v>265</v>
      </c>
      <c r="V46" s="7">
        <v>3432</v>
      </c>
      <c r="W46" s="38"/>
    </row>
    <row r="47" spans="1:23" x14ac:dyDescent="0.25">
      <c r="A47" s="7">
        <v>6</v>
      </c>
      <c r="B47" s="20">
        <v>45113</v>
      </c>
      <c r="C47" s="7" t="s">
        <v>276</v>
      </c>
      <c r="D47" s="7" t="s">
        <v>277</v>
      </c>
      <c r="E47" s="7" t="s">
        <v>259</v>
      </c>
      <c r="F47" s="7">
        <v>7</v>
      </c>
      <c r="G47" s="7">
        <v>1362</v>
      </c>
      <c r="H47" s="7" t="s">
        <v>278</v>
      </c>
      <c r="I47" s="7" t="s">
        <v>269</v>
      </c>
      <c r="J47" s="7">
        <v>1134</v>
      </c>
      <c r="M47" s="7">
        <v>8</v>
      </c>
      <c r="N47" s="20">
        <v>45115</v>
      </c>
      <c r="O47" s="7" t="s">
        <v>279</v>
      </c>
      <c r="P47" s="7" t="s">
        <v>277</v>
      </c>
      <c r="Q47" s="7" t="s">
        <v>75</v>
      </c>
      <c r="R47" s="7">
        <v>7</v>
      </c>
      <c r="S47" s="7">
        <v>678</v>
      </c>
      <c r="T47" s="7" t="s">
        <v>280</v>
      </c>
      <c r="U47" s="7" t="s">
        <v>265</v>
      </c>
      <c r="V47" s="7">
        <v>3603</v>
      </c>
      <c r="W47" s="38"/>
    </row>
    <row r="48" spans="1:23" x14ac:dyDescent="0.25">
      <c r="A48" s="7">
        <v>279</v>
      </c>
      <c r="B48" s="20">
        <v>45386</v>
      </c>
      <c r="C48" s="7" t="s">
        <v>303</v>
      </c>
      <c r="D48" s="7" t="s">
        <v>320</v>
      </c>
      <c r="E48" s="7" t="s">
        <v>75</v>
      </c>
      <c r="F48" s="7">
        <v>6</v>
      </c>
      <c r="G48" s="7">
        <v>1566</v>
      </c>
      <c r="H48" s="7" t="s">
        <v>280</v>
      </c>
      <c r="I48" s="7" t="s">
        <v>272</v>
      </c>
      <c r="J48" s="7">
        <v>1208</v>
      </c>
      <c r="M48" s="7">
        <v>80</v>
      </c>
      <c r="N48" s="20">
        <v>45187</v>
      </c>
      <c r="O48" s="7" t="s">
        <v>266</v>
      </c>
      <c r="P48" s="7" t="s">
        <v>263</v>
      </c>
      <c r="Q48" s="7" t="s">
        <v>75</v>
      </c>
      <c r="R48" s="7">
        <v>5</v>
      </c>
      <c r="S48" s="7">
        <v>835</v>
      </c>
      <c r="T48" s="7" t="s">
        <v>280</v>
      </c>
      <c r="U48" s="7" t="s">
        <v>269</v>
      </c>
      <c r="V48" s="7">
        <v>3762</v>
      </c>
      <c r="W48" s="38"/>
    </row>
    <row r="49" spans="1:23" x14ac:dyDescent="0.25">
      <c r="A49" s="7">
        <v>204</v>
      </c>
      <c r="B49" s="20">
        <v>45311</v>
      </c>
      <c r="C49" s="7" t="s">
        <v>287</v>
      </c>
      <c r="D49" s="7" t="s">
        <v>267</v>
      </c>
      <c r="E49" s="7" t="s">
        <v>259</v>
      </c>
      <c r="F49" s="7">
        <v>8</v>
      </c>
      <c r="G49" s="7">
        <v>1162</v>
      </c>
      <c r="H49" s="7" t="s">
        <v>284</v>
      </c>
      <c r="I49" s="7" t="s">
        <v>261</v>
      </c>
      <c r="J49" s="7">
        <v>1230</v>
      </c>
      <c r="M49" s="7">
        <v>29</v>
      </c>
      <c r="N49" s="20">
        <v>45136</v>
      </c>
      <c r="O49" s="7" t="s">
        <v>302</v>
      </c>
      <c r="P49" s="7" t="s">
        <v>299</v>
      </c>
      <c r="Q49" s="7" t="s">
        <v>259</v>
      </c>
      <c r="R49" s="7">
        <v>5</v>
      </c>
      <c r="S49" s="7">
        <v>834</v>
      </c>
      <c r="T49" s="7" t="s">
        <v>264</v>
      </c>
      <c r="U49" s="7" t="s">
        <v>272</v>
      </c>
      <c r="V49" s="7">
        <v>3813</v>
      </c>
      <c r="W49" s="38"/>
    </row>
    <row r="50" spans="1:23" x14ac:dyDescent="0.25">
      <c r="A50" s="7">
        <v>28</v>
      </c>
      <c r="B50" s="20">
        <v>45135</v>
      </c>
      <c r="C50" s="7" t="s">
        <v>295</v>
      </c>
      <c r="D50" s="7" t="s">
        <v>263</v>
      </c>
      <c r="E50" s="7" t="s">
        <v>75</v>
      </c>
      <c r="F50" s="7">
        <v>9</v>
      </c>
      <c r="G50" s="7">
        <v>1009</v>
      </c>
      <c r="H50" s="7" t="s">
        <v>296</v>
      </c>
      <c r="I50" s="7" t="s">
        <v>261</v>
      </c>
      <c r="J50" s="7">
        <v>1240</v>
      </c>
      <c r="M50" s="7">
        <v>273</v>
      </c>
      <c r="N50" s="20">
        <v>45380</v>
      </c>
      <c r="O50" s="7" t="s">
        <v>305</v>
      </c>
      <c r="P50" s="7" t="s">
        <v>294</v>
      </c>
      <c r="Q50" s="7" t="s">
        <v>75</v>
      </c>
      <c r="R50" s="7">
        <v>3</v>
      </c>
      <c r="S50" s="7">
        <v>1346</v>
      </c>
      <c r="T50" s="7" t="s">
        <v>264</v>
      </c>
      <c r="U50" s="7" t="s">
        <v>261</v>
      </c>
      <c r="V50" s="7">
        <v>4005</v>
      </c>
      <c r="W50" s="38"/>
    </row>
    <row r="51" spans="1:23" x14ac:dyDescent="0.25">
      <c r="A51" s="7">
        <v>293</v>
      </c>
      <c r="B51" s="20">
        <v>45400</v>
      </c>
      <c r="C51" s="7" t="s">
        <v>290</v>
      </c>
      <c r="D51" s="7" t="s">
        <v>320</v>
      </c>
      <c r="E51" s="7" t="s">
        <v>259</v>
      </c>
      <c r="F51" s="7">
        <v>7</v>
      </c>
      <c r="G51" s="7">
        <v>1294</v>
      </c>
      <c r="H51" s="7" t="s">
        <v>271</v>
      </c>
      <c r="I51" s="7" t="s">
        <v>272</v>
      </c>
      <c r="J51" s="7">
        <v>1280</v>
      </c>
      <c r="M51" s="7">
        <v>179</v>
      </c>
      <c r="N51" s="20">
        <v>45286</v>
      </c>
      <c r="O51" s="7" t="s">
        <v>317</v>
      </c>
      <c r="P51" s="7" t="s">
        <v>282</v>
      </c>
      <c r="Q51" s="7" t="s">
        <v>259</v>
      </c>
      <c r="R51" s="7">
        <v>3</v>
      </c>
      <c r="S51" s="7">
        <v>1271</v>
      </c>
      <c r="T51" s="7" t="s">
        <v>280</v>
      </c>
      <c r="U51" s="7" t="s">
        <v>261</v>
      </c>
      <c r="V51" s="7">
        <v>4170</v>
      </c>
      <c r="W51" s="38"/>
    </row>
    <row r="52" spans="1:23" x14ac:dyDescent="0.25">
      <c r="A52" s="7">
        <v>35</v>
      </c>
      <c r="B52" s="20">
        <v>45142</v>
      </c>
      <c r="C52" s="7" t="s">
        <v>266</v>
      </c>
      <c r="D52" s="7" t="s">
        <v>267</v>
      </c>
      <c r="E52" s="7" t="s">
        <v>78</v>
      </c>
      <c r="F52" s="7">
        <v>5</v>
      </c>
      <c r="G52" s="7">
        <v>1796</v>
      </c>
      <c r="H52" s="7" t="s">
        <v>278</v>
      </c>
      <c r="I52" s="7" t="s">
        <v>261</v>
      </c>
      <c r="J52" s="7">
        <v>1281</v>
      </c>
      <c r="M52" s="7">
        <v>82</v>
      </c>
      <c r="N52" s="20">
        <v>45189</v>
      </c>
      <c r="O52" s="7" t="s">
        <v>314</v>
      </c>
      <c r="P52" s="7" t="s">
        <v>320</v>
      </c>
      <c r="Q52" s="7" t="s">
        <v>78</v>
      </c>
      <c r="R52" s="7">
        <v>3</v>
      </c>
      <c r="S52" s="7">
        <v>1238</v>
      </c>
      <c r="T52" s="7" t="s">
        <v>280</v>
      </c>
      <c r="U52" s="7" t="s">
        <v>285</v>
      </c>
      <c r="V52" s="7">
        <v>4323</v>
      </c>
      <c r="W52" s="40"/>
    </row>
    <row r="53" spans="1:23" x14ac:dyDescent="0.25">
      <c r="A53" s="7">
        <v>51</v>
      </c>
      <c r="B53" s="20">
        <v>45158</v>
      </c>
      <c r="C53" s="7" t="s">
        <v>293</v>
      </c>
      <c r="D53" s="7" t="s">
        <v>267</v>
      </c>
      <c r="E53" s="7" t="s">
        <v>75</v>
      </c>
      <c r="F53" s="7">
        <v>8</v>
      </c>
      <c r="G53" s="7">
        <v>1122</v>
      </c>
      <c r="H53" s="7" t="s">
        <v>260</v>
      </c>
      <c r="I53" s="7" t="s">
        <v>269</v>
      </c>
      <c r="J53" s="7">
        <v>1281</v>
      </c>
      <c r="M53" s="7">
        <v>81</v>
      </c>
      <c r="N53" s="20">
        <v>45188</v>
      </c>
      <c r="O53" s="7" t="s">
        <v>273</v>
      </c>
      <c r="P53" s="7" t="s">
        <v>299</v>
      </c>
      <c r="Q53" s="7" t="s">
        <v>259</v>
      </c>
      <c r="R53" s="7">
        <v>4</v>
      </c>
      <c r="S53" s="7">
        <v>820</v>
      </c>
      <c r="T53" s="7" t="s">
        <v>264</v>
      </c>
      <c r="U53" s="7" t="s">
        <v>269</v>
      </c>
      <c r="V53" s="7">
        <v>5096</v>
      </c>
      <c r="W53" s="40"/>
    </row>
    <row r="54" spans="1:23" x14ac:dyDescent="0.25">
      <c r="A54" s="7">
        <v>284</v>
      </c>
      <c r="B54" s="20">
        <v>45391</v>
      </c>
      <c r="C54" s="7" t="s">
        <v>329</v>
      </c>
      <c r="D54" s="7" t="s">
        <v>299</v>
      </c>
      <c r="E54" s="7" t="s">
        <v>78</v>
      </c>
      <c r="F54" s="7">
        <v>7</v>
      </c>
      <c r="G54" s="7">
        <v>1282</v>
      </c>
      <c r="H54" s="7" t="s">
        <v>264</v>
      </c>
      <c r="I54" s="7" t="s">
        <v>265</v>
      </c>
      <c r="J54" s="7">
        <v>1332</v>
      </c>
      <c r="M54" s="7">
        <v>194</v>
      </c>
      <c r="N54" s="20">
        <v>45301</v>
      </c>
      <c r="O54" s="7" t="s">
        <v>304</v>
      </c>
      <c r="P54" s="7" t="s">
        <v>267</v>
      </c>
      <c r="Q54" s="7" t="s">
        <v>78</v>
      </c>
      <c r="R54" s="7">
        <v>4</v>
      </c>
      <c r="S54" s="7">
        <v>812</v>
      </c>
      <c r="T54" s="7" t="s">
        <v>280</v>
      </c>
      <c r="U54" s="7" t="s">
        <v>269</v>
      </c>
      <c r="V54" s="7">
        <v>5208</v>
      </c>
      <c r="W54" s="40"/>
    </row>
    <row r="55" spans="1:23" x14ac:dyDescent="0.25">
      <c r="A55" s="7">
        <v>285</v>
      </c>
      <c r="B55" s="20">
        <v>45392</v>
      </c>
      <c r="C55" s="7" t="s">
        <v>309</v>
      </c>
      <c r="D55" s="7" t="s">
        <v>282</v>
      </c>
      <c r="E55" s="7" t="s">
        <v>78</v>
      </c>
      <c r="F55" s="7">
        <v>7</v>
      </c>
      <c r="G55" s="7">
        <v>1275</v>
      </c>
      <c r="H55" s="7" t="s">
        <v>264</v>
      </c>
      <c r="I55" s="7" t="s">
        <v>261</v>
      </c>
      <c r="J55" s="7">
        <v>1344</v>
      </c>
      <c r="M55" s="7">
        <v>265</v>
      </c>
      <c r="N55" s="20">
        <v>45372</v>
      </c>
      <c r="O55" s="7" t="s">
        <v>328</v>
      </c>
      <c r="P55" s="7" t="s">
        <v>320</v>
      </c>
      <c r="Q55" s="7" t="s">
        <v>75</v>
      </c>
      <c r="R55" s="7">
        <v>3</v>
      </c>
      <c r="S55" s="7">
        <v>982</v>
      </c>
      <c r="T55" s="7" t="s">
        <v>264</v>
      </c>
      <c r="U55" s="7" t="s">
        <v>272</v>
      </c>
      <c r="V55" s="7">
        <v>5550</v>
      </c>
      <c r="W55" s="40"/>
    </row>
    <row r="56" spans="1:23" x14ac:dyDescent="0.25">
      <c r="A56" s="7">
        <v>71</v>
      </c>
      <c r="B56" s="20">
        <v>45178</v>
      </c>
      <c r="C56" s="7" t="s">
        <v>312</v>
      </c>
      <c r="D56" s="7" t="s">
        <v>299</v>
      </c>
      <c r="E56" s="7" t="s">
        <v>259</v>
      </c>
      <c r="F56" s="7">
        <v>6</v>
      </c>
      <c r="G56" s="7">
        <v>1487</v>
      </c>
      <c r="H56" s="7" t="s">
        <v>271</v>
      </c>
      <c r="I56" s="7" t="s">
        <v>261</v>
      </c>
      <c r="J56" s="7">
        <v>1352</v>
      </c>
      <c r="M56" s="7">
        <v>76</v>
      </c>
      <c r="N56" s="20">
        <v>45183</v>
      </c>
      <c r="O56" s="7" t="s">
        <v>288</v>
      </c>
      <c r="P56" s="7" t="s">
        <v>291</v>
      </c>
      <c r="Q56" s="7" t="s">
        <v>78</v>
      </c>
      <c r="R56" s="7">
        <v>4</v>
      </c>
      <c r="S56" s="7">
        <v>731</v>
      </c>
      <c r="T56" s="7" t="s">
        <v>264</v>
      </c>
      <c r="U56" s="7" t="s">
        <v>285</v>
      </c>
      <c r="V56" s="7">
        <v>5612</v>
      </c>
      <c r="W56" s="40"/>
    </row>
    <row r="57" spans="1:23" x14ac:dyDescent="0.25">
      <c r="A57" s="7">
        <v>147</v>
      </c>
      <c r="B57" s="20">
        <v>45254</v>
      </c>
      <c r="C57" s="7" t="s">
        <v>266</v>
      </c>
      <c r="D57" s="7" t="s">
        <v>263</v>
      </c>
      <c r="E57" s="7" t="s">
        <v>75</v>
      </c>
      <c r="F57" s="7">
        <v>6</v>
      </c>
      <c r="G57" s="7">
        <v>1486</v>
      </c>
      <c r="H57" s="7" t="s">
        <v>280</v>
      </c>
      <c r="I57" s="7" t="s">
        <v>272</v>
      </c>
      <c r="J57" s="7">
        <v>1355</v>
      </c>
      <c r="M57" s="7">
        <v>231</v>
      </c>
      <c r="N57" s="20">
        <v>45338</v>
      </c>
      <c r="O57" s="7" t="s">
        <v>331</v>
      </c>
      <c r="P57" s="7" t="s">
        <v>320</v>
      </c>
      <c r="Q57" s="7" t="s">
        <v>259</v>
      </c>
      <c r="R57" s="7">
        <v>6</v>
      </c>
      <c r="S57" s="7">
        <v>438</v>
      </c>
      <c r="T57" s="7" t="s">
        <v>264</v>
      </c>
      <c r="U57" s="7" t="s">
        <v>285</v>
      </c>
      <c r="V57" s="7">
        <v>5864</v>
      </c>
      <c r="W57" s="40"/>
    </row>
    <row r="58" spans="1:23" x14ac:dyDescent="0.25">
      <c r="A58" s="7">
        <v>120</v>
      </c>
      <c r="B58" s="20">
        <v>45227</v>
      </c>
      <c r="C58" s="7" t="s">
        <v>273</v>
      </c>
      <c r="D58" s="7" t="s">
        <v>258</v>
      </c>
      <c r="E58" s="7" t="s">
        <v>259</v>
      </c>
      <c r="F58" s="7">
        <v>5</v>
      </c>
      <c r="G58" s="7">
        <v>1752</v>
      </c>
      <c r="H58" s="7" t="s">
        <v>278</v>
      </c>
      <c r="I58" s="7" t="s">
        <v>269</v>
      </c>
      <c r="J58" s="7">
        <v>1358</v>
      </c>
      <c r="M58" s="7">
        <v>178</v>
      </c>
      <c r="N58" s="20">
        <v>45285</v>
      </c>
      <c r="O58" s="7" t="s">
        <v>295</v>
      </c>
      <c r="P58" s="7" t="s">
        <v>258</v>
      </c>
      <c r="Q58" s="7" t="s">
        <v>259</v>
      </c>
      <c r="R58" s="7">
        <v>3</v>
      </c>
      <c r="S58" s="7">
        <v>850</v>
      </c>
      <c r="T58" s="7" t="s">
        <v>264</v>
      </c>
      <c r="U58" s="7" t="s">
        <v>285</v>
      </c>
      <c r="V58" s="7">
        <v>5889</v>
      </c>
      <c r="W58" s="40"/>
    </row>
    <row r="59" spans="1:23" x14ac:dyDescent="0.25">
      <c r="A59" s="7">
        <v>214</v>
      </c>
      <c r="B59" s="20">
        <v>45321</v>
      </c>
      <c r="C59" s="7" t="s">
        <v>303</v>
      </c>
      <c r="D59" s="7" t="s">
        <v>320</v>
      </c>
      <c r="E59" s="7" t="s">
        <v>78</v>
      </c>
      <c r="F59" s="7">
        <v>9</v>
      </c>
      <c r="G59" s="7">
        <v>965</v>
      </c>
      <c r="H59" s="7" t="s">
        <v>268</v>
      </c>
      <c r="I59" s="7" t="s">
        <v>285</v>
      </c>
      <c r="J59" s="7">
        <v>1362</v>
      </c>
      <c r="M59" s="7">
        <v>296</v>
      </c>
      <c r="N59" s="20">
        <v>45403</v>
      </c>
      <c r="O59" s="7" t="s">
        <v>300</v>
      </c>
      <c r="P59" s="7" t="s">
        <v>320</v>
      </c>
      <c r="Q59" s="7" t="s">
        <v>259</v>
      </c>
      <c r="R59" s="7">
        <v>9</v>
      </c>
      <c r="S59" s="7">
        <v>282</v>
      </c>
      <c r="T59" s="7" t="s">
        <v>280</v>
      </c>
      <c r="U59" s="7" t="s">
        <v>261</v>
      </c>
      <c r="V59" s="7">
        <v>5960</v>
      </c>
      <c r="W59" s="40"/>
    </row>
    <row r="60" spans="1:23" x14ac:dyDescent="0.25">
      <c r="A60" s="7">
        <v>161</v>
      </c>
      <c r="B60" s="20">
        <v>45268</v>
      </c>
      <c r="C60" s="7" t="s">
        <v>326</v>
      </c>
      <c r="D60" s="7" t="s">
        <v>277</v>
      </c>
      <c r="E60" s="7" t="s">
        <v>259</v>
      </c>
      <c r="F60" s="7">
        <v>7</v>
      </c>
      <c r="G60" s="7">
        <v>1236</v>
      </c>
      <c r="H60" s="7" t="s">
        <v>260</v>
      </c>
      <c r="I60" s="7" t="s">
        <v>272</v>
      </c>
      <c r="J60" s="7">
        <v>1376</v>
      </c>
      <c r="M60" s="7">
        <v>287</v>
      </c>
      <c r="N60" s="20">
        <v>45394</v>
      </c>
      <c r="O60" s="7" t="s">
        <v>311</v>
      </c>
      <c r="P60" s="7" t="s">
        <v>320</v>
      </c>
      <c r="Q60" s="7" t="s">
        <v>78</v>
      </c>
      <c r="R60" s="7">
        <v>3</v>
      </c>
      <c r="S60" s="7">
        <v>719</v>
      </c>
      <c r="T60" s="7" t="s">
        <v>264</v>
      </c>
      <c r="U60" s="7" t="s">
        <v>269</v>
      </c>
      <c r="V60" s="7">
        <v>6360</v>
      </c>
      <c r="W60" s="40"/>
    </row>
    <row r="61" spans="1:23" x14ac:dyDescent="0.25">
      <c r="A61" s="7">
        <v>119</v>
      </c>
      <c r="B61" s="20">
        <v>45226</v>
      </c>
      <c r="C61" s="7" t="s">
        <v>311</v>
      </c>
      <c r="D61" s="7" t="s">
        <v>299</v>
      </c>
      <c r="E61" s="7" t="s">
        <v>78</v>
      </c>
      <c r="F61" s="7">
        <v>5</v>
      </c>
      <c r="G61" s="7">
        <v>1722</v>
      </c>
      <c r="H61" s="7" t="s">
        <v>264</v>
      </c>
      <c r="I61" s="7" t="s">
        <v>285</v>
      </c>
      <c r="J61" s="7">
        <v>1379</v>
      </c>
      <c r="M61" s="7">
        <v>258</v>
      </c>
      <c r="N61" s="20">
        <v>45365</v>
      </c>
      <c r="O61" s="7" t="s">
        <v>310</v>
      </c>
      <c r="P61" s="7" t="s">
        <v>258</v>
      </c>
      <c r="Q61" s="7" t="s">
        <v>75</v>
      </c>
      <c r="R61" s="7">
        <v>6</v>
      </c>
      <c r="S61" s="7">
        <v>349</v>
      </c>
      <c r="T61" s="7" t="s">
        <v>264</v>
      </c>
      <c r="U61" s="7" t="s">
        <v>265</v>
      </c>
      <c r="V61" s="7">
        <v>6456</v>
      </c>
      <c r="W61" s="40"/>
    </row>
    <row r="62" spans="1:23" x14ac:dyDescent="0.25">
      <c r="A62" s="7">
        <v>290</v>
      </c>
      <c r="B62" s="20">
        <v>45397</v>
      </c>
      <c r="C62" s="7" t="s">
        <v>279</v>
      </c>
      <c r="D62" s="7" t="s">
        <v>263</v>
      </c>
      <c r="E62" s="7" t="s">
        <v>78</v>
      </c>
      <c r="F62" s="7">
        <v>7</v>
      </c>
      <c r="G62" s="7">
        <v>1221</v>
      </c>
      <c r="H62" s="7" t="s">
        <v>271</v>
      </c>
      <c r="I62" s="7" t="s">
        <v>272</v>
      </c>
      <c r="J62" s="7">
        <v>1380</v>
      </c>
      <c r="M62" s="7">
        <v>289</v>
      </c>
      <c r="N62" s="20">
        <v>45396</v>
      </c>
      <c r="O62" s="7" t="s">
        <v>318</v>
      </c>
      <c r="P62" s="7" t="s">
        <v>291</v>
      </c>
      <c r="Q62" s="7" t="s">
        <v>75</v>
      </c>
      <c r="R62" s="7">
        <v>1</v>
      </c>
      <c r="S62" s="7">
        <v>1936</v>
      </c>
      <c r="T62" s="7" t="s">
        <v>280</v>
      </c>
      <c r="U62" s="7" t="s">
        <v>272</v>
      </c>
      <c r="V62" s="7">
        <v>6700</v>
      </c>
      <c r="W62" s="40"/>
    </row>
    <row r="63" spans="1:23" x14ac:dyDescent="0.25">
      <c r="A63" s="7">
        <v>157</v>
      </c>
      <c r="B63" s="20">
        <v>45264</v>
      </c>
      <c r="C63" s="7" t="s">
        <v>297</v>
      </c>
      <c r="D63" s="7" t="s">
        <v>320</v>
      </c>
      <c r="E63" s="7" t="s">
        <v>75</v>
      </c>
      <c r="F63" s="7">
        <v>6</v>
      </c>
      <c r="G63" s="7">
        <v>1419</v>
      </c>
      <c r="H63" s="7" t="s">
        <v>275</v>
      </c>
      <c r="I63" s="7" t="s">
        <v>269</v>
      </c>
      <c r="J63" s="7">
        <v>1389</v>
      </c>
      <c r="M63" s="7">
        <v>104</v>
      </c>
      <c r="N63" s="20">
        <v>45211</v>
      </c>
      <c r="O63" s="7" t="s">
        <v>295</v>
      </c>
      <c r="P63" s="7" t="s">
        <v>320</v>
      </c>
      <c r="Q63" s="7" t="s">
        <v>259</v>
      </c>
      <c r="R63" s="7">
        <v>2</v>
      </c>
      <c r="S63" s="7">
        <v>937</v>
      </c>
      <c r="T63" s="7" t="s">
        <v>280</v>
      </c>
      <c r="U63" s="7" t="s">
        <v>285</v>
      </c>
      <c r="V63" s="7">
        <v>6760</v>
      </c>
      <c r="W63" s="40"/>
    </row>
    <row r="64" spans="1:23" x14ac:dyDescent="0.25">
      <c r="A64" s="7">
        <v>294</v>
      </c>
      <c r="B64" s="20">
        <v>45401</v>
      </c>
      <c r="C64" s="7" t="s">
        <v>317</v>
      </c>
      <c r="D64" s="7" t="s">
        <v>277</v>
      </c>
      <c r="E64" s="7" t="s">
        <v>259</v>
      </c>
      <c r="F64" s="7">
        <v>8</v>
      </c>
      <c r="G64" s="7">
        <v>1035</v>
      </c>
      <c r="H64" s="7" t="s">
        <v>284</v>
      </c>
      <c r="I64" s="7" t="s">
        <v>261</v>
      </c>
      <c r="J64" s="7">
        <v>1396</v>
      </c>
      <c r="M64" s="7">
        <v>45</v>
      </c>
      <c r="N64" s="20">
        <v>45152</v>
      </c>
      <c r="O64" s="7" t="s">
        <v>313</v>
      </c>
      <c r="P64" s="7" t="s">
        <v>291</v>
      </c>
      <c r="Q64" s="7" t="s">
        <v>75</v>
      </c>
      <c r="R64" s="7">
        <v>8</v>
      </c>
      <c r="S64" s="7">
        <v>181</v>
      </c>
      <c r="T64" s="7" t="s">
        <v>280</v>
      </c>
      <c r="U64" s="7" t="s">
        <v>265</v>
      </c>
      <c r="V64" s="7">
        <v>7784</v>
      </c>
      <c r="W64" s="40"/>
    </row>
    <row r="65" spans="1:24" x14ac:dyDescent="0.25">
      <c r="A65" s="7">
        <v>47</v>
      </c>
      <c r="B65" s="20">
        <v>45154</v>
      </c>
      <c r="C65" s="7" t="s">
        <v>314</v>
      </c>
      <c r="D65" s="7" t="s">
        <v>263</v>
      </c>
      <c r="E65" s="7" t="s">
        <v>75</v>
      </c>
      <c r="F65" s="7">
        <v>9</v>
      </c>
      <c r="G65" s="7">
        <v>914</v>
      </c>
      <c r="H65" s="7" t="s">
        <v>296</v>
      </c>
      <c r="I65" s="7" t="s">
        <v>269</v>
      </c>
      <c r="J65" s="7">
        <v>1407</v>
      </c>
      <c r="M65" s="7">
        <v>282</v>
      </c>
      <c r="N65" s="20">
        <v>45389</v>
      </c>
      <c r="O65" s="7" t="s">
        <v>325</v>
      </c>
      <c r="P65" s="7" t="s">
        <v>294</v>
      </c>
      <c r="Q65" s="7" t="s">
        <v>259</v>
      </c>
      <c r="R65" s="7">
        <v>1</v>
      </c>
      <c r="S65" s="7">
        <v>1396</v>
      </c>
      <c r="T65" s="7" t="s">
        <v>264</v>
      </c>
      <c r="U65" s="7" t="s">
        <v>272</v>
      </c>
      <c r="V65" s="7">
        <v>8280</v>
      </c>
      <c r="W65" s="40"/>
    </row>
    <row r="66" spans="1:24" x14ac:dyDescent="0.25">
      <c r="A66" s="7">
        <v>69</v>
      </c>
      <c r="B66" s="20">
        <v>45176</v>
      </c>
      <c r="C66" s="7" t="s">
        <v>313</v>
      </c>
      <c r="D66" s="7" t="s">
        <v>282</v>
      </c>
      <c r="E66" s="7" t="s">
        <v>259</v>
      </c>
      <c r="F66" s="7">
        <v>5</v>
      </c>
      <c r="G66" s="7">
        <v>1629</v>
      </c>
      <c r="H66" s="7" t="s">
        <v>286</v>
      </c>
      <c r="I66" s="7" t="s">
        <v>269</v>
      </c>
      <c r="J66" s="7">
        <v>1419</v>
      </c>
      <c r="M66" s="7">
        <v>210</v>
      </c>
      <c r="N66" s="20">
        <v>45317</v>
      </c>
      <c r="O66" s="7" t="s">
        <v>293</v>
      </c>
      <c r="P66" s="7" t="s">
        <v>299</v>
      </c>
      <c r="Q66" s="7" t="s">
        <v>75</v>
      </c>
      <c r="R66" s="7">
        <v>5</v>
      </c>
      <c r="S66" s="7">
        <v>271</v>
      </c>
      <c r="T66" s="7" t="s">
        <v>264</v>
      </c>
      <c r="U66" s="7" t="s">
        <v>265</v>
      </c>
      <c r="V66" s="7">
        <v>8916</v>
      </c>
      <c r="W66" s="40"/>
    </row>
    <row r="67" spans="1:24" x14ac:dyDescent="0.25">
      <c r="A67" s="7">
        <v>252</v>
      </c>
      <c r="B67" s="20">
        <v>45359</v>
      </c>
      <c r="C67" s="7" t="s">
        <v>279</v>
      </c>
      <c r="D67" s="7" t="s">
        <v>291</v>
      </c>
      <c r="E67" s="7" t="s">
        <v>75</v>
      </c>
      <c r="F67" s="7">
        <v>7</v>
      </c>
      <c r="G67" s="7">
        <v>1139</v>
      </c>
      <c r="H67" s="7" t="s">
        <v>271</v>
      </c>
      <c r="I67" s="7" t="s">
        <v>261</v>
      </c>
      <c r="J67" s="7">
        <v>1440</v>
      </c>
      <c r="M67" s="7">
        <v>38</v>
      </c>
      <c r="N67" s="20">
        <v>45145</v>
      </c>
      <c r="O67" s="7" t="s">
        <v>290</v>
      </c>
      <c r="P67" s="7" t="s">
        <v>291</v>
      </c>
      <c r="Q67" s="7" t="s">
        <v>75</v>
      </c>
      <c r="R67" s="7">
        <v>5</v>
      </c>
      <c r="S67" s="7">
        <v>246</v>
      </c>
      <c r="T67" s="7" t="s">
        <v>264</v>
      </c>
      <c r="U67" s="7" t="s">
        <v>272</v>
      </c>
      <c r="V67" s="7">
        <v>9296</v>
      </c>
      <c r="W67" s="40"/>
    </row>
    <row r="68" spans="1:24" x14ac:dyDescent="0.25">
      <c r="A68" s="7">
        <v>224</v>
      </c>
      <c r="B68" s="20">
        <v>45331</v>
      </c>
      <c r="C68" s="7" t="s">
        <v>328</v>
      </c>
      <c r="D68" s="7" t="s">
        <v>282</v>
      </c>
      <c r="E68" s="7" t="s">
        <v>259</v>
      </c>
      <c r="F68" s="7">
        <v>4</v>
      </c>
      <c r="G68" s="7">
        <v>1946</v>
      </c>
      <c r="H68" s="7" t="s">
        <v>286</v>
      </c>
      <c r="I68" s="7" t="s">
        <v>269</v>
      </c>
      <c r="J68" s="7">
        <v>1448</v>
      </c>
      <c r="M68" s="7">
        <v>123</v>
      </c>
      <c r="N68" s="20">
        <v>45230</v>
      </c>
      <c r="O68" s="7" t="s">
        <v>300</v>
      </c>
      <c r="P68" s="7" t="s">
        <v>274</v>
      </c>
      <c r="Q68" s="7" t="s">
        <v>75</v>
      </c>
      <c r="R68" s="7">
        <v>9</v>
      </c>
      <c r="S68" s="7">
        <v>126</v>
      </c>
      <c r="T68" s="7" t="s">
        <v>280</v>
      </c>
      <c r="U68" s="7" t="s">
        <v>285</v>
      </c>
      <c r="V68" s="7">
        <v>9534</v>
      </c>
      <c r="W68" s="40"/>
    </row>
    <row r="69" spans="1:24" x14ac:dyDescent="0.25">
      <c r="A69" s="7">
        <v>5</v>
      </c>
      <c r="B69" s="20">
        <v>45112</v>
      </c>
      <c r="C69" s="7" t="s">
        <v>273</v>
      </c>
      <c r="D69" s="7" t="s">
        <v>274</v>
      </c>
      <c r="E69" s="7" t="s">
        <v>75</v>
      </c>
      <c r="F69" s="7">
        <v>9</v>
      </c>
      <c r="G69" s="7">
        <v>860</v>
      </c>
      <c r="H69" s="7" t="s">
        <v>275</v>
      </c>
      <c r="I69" s="7" t="s">
        <v>269</v>
      </c>
      <c r="J69" s="7">
        <v>1524</v>
      </c>
      <c r="M69" s="7">
        <v>299</v>
      </c>
      <c r="N69" s="20">
        <v>45406</v>
      </c>
      <c r="O69" s="7" t="s">
        <v>303</v>
      </c>
      <c r="P69" s="7" t="s">
        <v>294</v>
      </c>
      <c r="Q69" s="7" t="s">
        <v>259</v>
      </c>
      <c r="R69" s="7">
        <v>8</v>
      </c>
      <c r="S69" s="7">
        <v>138</v>
      </c>
      <c r="T69" s="7" t="s">
        <v>280</v>
      </c>
      <c r="U69" s="7" t="s">
        <v>261</v>
      </c>
      <c r="V69" s="7">
        <v>9606</v>
      </c>
      <c r="W69" s="40"/>
    </row>
    <row r="70" spans="1:24" x14ac:dyDescent="0.25">
      <c r="A70" s="7">
        <v>15</v>
      </c>
      <c r="B70" s="20">
        <v>45122</v>
      </c>
      <c r="C70" s="7" t="s">
        <v>287</v>
      </c>
      <c r="D70" s="7" t="s">
        <v>258</v>
      </c>
      <c r="E70" s="7" t="s">
        <v>259</v>
      </c>
      <c r="F70" s="7">
        <v>4</v>
      </c>
      <c r="G70" s="7">
        <v>1926</v>
      </c>
      <c r="H70" s="7" t="s">
        <v>278</v>
      </c>
      <c r="I70" s="7" t="s">
        <v>269</v>
      </c>
      <c r="J70" s="7">
        <v>1541</v>
      </c>
      <c r="M70" s="7">
        <v>295</v>
      </c>
      <c r="N70" s="20">
        <v>45402</v>
      </c>
      <c r="O70" s="7" t="s">
        <v>287</v>
      </c>
      <c r="P70" s="7" t="s">
        <v>282</v>
      </c>
      <c r="Q70" s="7" t="s">
        <v>259</v>
      </c>
      <c r="R70" s="7">
        <v>1</v>
      </c>
      <c r="S70" s="7">
        <v>1085</v>
      </c>
      <c r="T70" s="7" t="s">
        <v>280</v>
      </c>
      <c r="U70" s="7" t="s">
        <v>272</v>
      </c>
      <c r="V70" s="7">
        <v>9856</v>
      </c>
      <c r="W70" s="40"/>
    </row>
    <row r="71" spans="1:24" x14ac:dyDescent="0.25">
      <c r="A71" s="7">
        <v>156</v>
      </c>
      <c r="B71" s="20">
        <v>45263</v>
      </c>
      <c r="C71" s="7" t="s">
        <v>313</v>
      </c>
      <c r="D71" s="7" t="s">
        <v>274</v>
      </c>
      <c r="E71" s="7" t="s">
        <v>78</v>
      </c>
      <c r="F71" s="7">
        <v>4</v>
      </c>
      <c r="G71" s="7">
        <v>1902</v>
      </c>
      <c r="H71" s="7" t="s">
        <v>264</v>
      </c>
      <c r="I71" s="7" t="s">
        <v>265</v>
      </c>
      <c r="J71" s="7">
        <v>1580</v>
      </c>
      <c r="M71" s="7">
        <v>200</v>
      </c>
      <c r="N71" s="20">
        <v>45307</v>
      </c>
      <c r="O71" s="7" t="s">
        <v>287</v>
      </c>
      <c r="P71" s="7" t="s">
        <v>294</v>
      </c>
      <c r="Q71" s="7" t="s">
        <v>78</v>
      </c>
      <c r="R71" s="7">
        <v>1</v>
      </c>
      <c r="S71" s="7">
        <v>1038</v>
      </c>
      <c r="T71" s="7" t="s">
        <v>264</v>
      </c>
      <c r="U71" s="7" t="s">
        <v>265</v>
      </c>
      <c r="V71" s="7">
        <v>10482</v>
      </c>
      <c r="W71" s="40"/>
    </row>
    <row r="72" spans="1:24" x14ac:dyDescent="0.25">
      <c r="A72" s="7">
        <v>297</v>
      </c>
      <c r="B72" s="20">
        <v>45404</v>
      </c>
      <c r="C72" s="7" t="s">
        <v>287</v>
      </c>
      <c r="D72" s="7" t="s">
        <v>282</v>
      </c>
      <c r="E72" s="7" t="s">
        <v>259</v>
      </c>
      <c r="F72" s="7">
        <v>7</v>
      </c>
      <c r="G72" s="7">
        <v>1082</v>
      </c>
      <c r="H72" s="7" t="s">
        <v>278</v>
      </c>
      <c r="I72" s="7" t="s">
        <v>269</v>
      </c>
      <c r="J72" s="7">
        <v>1603</v>
      </c>
      <c r="M72" s="7">
        <v>134</v>
      </c>
      <c r="N72" s="20">
        <v>45241</v>
      </c>
      <c r="O72" s="7" t="s">
        <v>328</v>
      </c>
      <c r="P72" s="7" t="s">
        <v>299</v>
      </c>
      <c r="Q72" s="7" t="s">
        <v>75</v>
      </c>
      <c r="R72" s="7">
        <v>1</v>
      </c>
      <c r="S72" s="7">
        <v>1005</v>
      </c>
      <c r="T72" s="7" t="s">
        <v>264</v>
      </c>
      <c r="U72" s="7" t="s">
        <v>261</v>
      </c>
      <c r="V72" s="7">
        <v>11320</v>
      </c>
      <c r="W72" s="40"/>
    </row>
    <row r="73" spans="1:24" x14ac:dyDescent="0.25">
      <c r="A73" s="7">
        <v>138</v>
      </c>
      <c r="B73" s="20">
        <v>45245</v>
      </c>
      <c r="C73" s="7" t="s">
        <v>314</v>
      </c>
      <c r="D73" s="7" t="s">
        <v>294</v>
      </c>
      <c r="E73" s="7" t="s">
        <v>259</v>
      </c>
      <c r="F73" s="7">
        <v>7</v>
      </c>
      <c r="G73" s="7">
        <v>1080</v>
      </c>
      <c r="H73" s="7" t="s">
        <v>280</v>
      </c>
      <c r="I73" s="7" t="s">
        <v>272</v>
      </c>
      <c r="J73" s="7">
        <v>1608</v>
      </c>
      <c r="M73" s="7">
        <v>278</v>
      </c>
      <c r="N73" s="20">
        <v>45385</v>
      </c>
      <c r="O73" s="7" t="s">
        <v>325</v>
      </c>
      <c r="P73" s="7" t="s">
        <v>320</v>
      </c>
      <c r="Q73" s="7" t="s">
        <v>259</v>
      </c>
      <c r="R73" s="7">
        <v>2</v>
      </c>
      <c r="S73" s="7">
        <v>501</v>
      </c>
      <c r="T73" s="7" t="s">
        <v>264</v>
      </c>
      <c r="U73" s="7" t="s">
        <v>269</v>
      </c>
      <c r="V73" s="7">
        <v>11340</v>
      </c>
      <c r="W73" s="40"/>
    </row>
    <row r="74" spans="1:24" x14ac:dyDescent="0.25">
      <c r="A74" s="7">
        <v>52</v>
      </c>
      <c r="B74" s="20">
        <v>45159</v>
      </c>
      <c r="C74" s="7" t="s">
        <v>317</v>
      </c>
      <c r="D74" s="7" t="s">
        <v>291</v>
      </c>
      <c r="E74" s="7" t="s">
        <v>259</v>
      </c>
      <c r="F74" s="7">
        <v>5</v>
      </c>
      <c r="G74" s="7">
        <v>1509</v>
      </c>
      <c r="H74" s="7" t="s">
        <v>278</v>
      </c>
      <c r="I74" s="7" t="s">
        <v>272</v>
      </c>
      <c r="J74" s="7">
        <v>1610</v>
      </c>
      <c r="M74" s="7">
        <v>158</v>
      </c>
      <c r="N74" s="20">
        <v>45265</v>
      </c>
      <c r="O74" s="7" t="s">
        <v>309</v>
      </c>
      <c r="P74" s="7" t="s">
        <v>274</v>
      </c>
      <c r="Q74" s="7" t="s">
        <v>75</v>
      </c>
      <c r="R74" s="7">
        <v>9</v>
      </c>
      <c r="S74" s="7">
        <v>110</v>
      </c>
      <c r="T74" s="7" t="s">
        <v>264</v>
      </c>
      <c r="U74" s="7" t="s">
        <v>272</v>
      </c>
      <c r="V74" s="7">
        <v>11484</v>
      </c>
      <c r="W74" s="40"/>
    </row>
    <row r="75" spans="1:24" x14ac:dyDescent="0.25">
      <c r="A75" s="7">
        <v>176</v>
      </c>
      <c r="B75" s="20">
        <v>45283</v>
      </c>
      <c r="C75" s="7" t="s">
        <v>306</v>
      </c>
      <c r="D75" s="7" t="s">
        <v>263</v>
      </c>
      <c r="E75" s="7" t="s">
        <v>75</v>
      </c>
      <c r="F75" s="7">
        <v>4</v>
      </c>
      <c r="G75" s="7">
        <v>1885</v>
      </c>
      <c r="H75" s="7" t="s">
        <v>264</v>
      </c>
      <c r="I75" s="7" t="s">
        <v>265</v>
      </c>
      <c r="J75" s="7">
        <v>1621</v>
      </c>
      <c r="W75" s="40"/>
    </row>
    <row r="76" spans="1:24" ht="15.75" thickBot="1" x14ac:dyDescent="0.3">
      <c r="A76" s="7">
        <v>40</v>
      </c>
      <c r="B76" s="20">
        <v>45147</v>
      </c>
      <c r="C76" s="7" t="s">
        <v>310</v>
      </c>
      <c r="D76" s="7" t="s">
        <v>294</v>
      </c>
      <c r="E76" s="7" t="s">
        <v>75</v>
      </c>
      <c r="F76" s="7">
        <v>5</v>
      </c>
      <c r="G76" s="7">
        <v>1504</v>
      </c>
      <c r="H76" s="7" t="s">
        <v>275</v>
      </c>
      <c r="I76" s="7" t="s">
        <v>261</v>
      </c>
      <c r="J76" s="7">
        <v>1624</v>
      </c>
      <c r="W76" s="41"/>
    </row>
    <row r="77" spans="1:24" x14ac:dyDescent="0.25">
      <c r="A77" s="7">
        <v>55</v>
      </c>
      <c r="B77" s="20">
        <v>45162</v>
      </c>
      <c r="C77" s="7" t="s">
        <v>310</v>
      </c>
      <c r="D77" s="7" t="s">
        <v>291</v>
      </c>
      <c r="E77" s="7" t="s">
        <v>259</v>
      </c>
      <c r="F77" s="7">
        <v>6</v>
      </c>
      <c r="G77" s="7">
        <v>1242</v>
      </c>
      <c r="H77" s="7" t="s">
        <v>268</v>
      </c>
      <c r="I77" s="7" t="s">
        <v>261</v>
      </c>
      <c r="J77" s="7">
        <v>1635</v>
      </c>
    </row>
    <row r="78" spans="1:24" x14ac:dyDescent="0.25">
      <c r="A78" s="7">
        <v>181</v>
      </c>
      <c r="B78" s="20">
        <v>45288</v>
      </c>
      <c r="C78" s="7" t="s">
        <v>283</v>
      </c>
      <c r="D78" s="7" t="s">
        <v>320</v>
      </c>
      <c r="E78" s="7" t="s">
        <v>259</v>
      </c>
      <c r="F78" s="7">
        <v>4</v>
      </c>
      <c r="G78" s="7">
        <v>1862</v>
      </c>
      <c r="H78" s="7" t="s">
        <v>264</v>
      </c>
      <c r="I78" s="7" t="s">
        <v>272</v>
      </c>
      <c r="J78" s="7">
        <v>1642</v>
      </c>
      <c r="W78" s="30"/>
    </row>
    <row r="79" spans="1:24" x14ac:dyDescent="0.25">
      <c r="A79" s="7">
        <v>269</v>
      </c>
      <c r="B79" s="20">
        <v>45376</v>
      </c>
      <c r="C79" s="7" t="s">
        <v>315</v>
      </c>
      <c r="D79" s="7" t="s">
        <v>277</v>
      </c>
      <c r="E79" s="7" t="s">
        <v>259</v>
      </c>
      <c r="F79" s="7">
        <v>8</v>
      </c>
      <c r="G79" s="7">
        <v>926</v>
      </c>
      <c r="H79" s="7" t="s">
        <v>271</v>
      </c>
      <c r="I79" s="7" t="s">
        <v>272</v>
      </c>
      <c r="J79" s="7">
        <v>1652</v>
      </c>
      <c r="W79" s="30"/>
    </row>
    <row r="80" spans="1:24" x14ac:dyDescent="0.25">
      <c r="A80" s="7">
        <v>99</v>
      </c>
      <c r="B80" s="20">
        <v>45206</v>
      </c>
      <c r="C80" s="7" t="s">
        <v>302</v>
      </c>
      <c r="D80" s="7" t="s">
        <v>282</v>
      </c>
      <c r="E80" s="7" t="s">
        <v>75</v>
      </c>
      <c r="F80" s="7">
        <v>6</v>
      </c>
      <c r="G80" s="7">
        <v>1232</v>
      </c>
      <c r="H80" s="7" t="s">
        <v>286</v>
      </c>
      <c r="I80" s="7" t="s">
        <v>265</v>
      </c>
      <c r="J80" s="7">
        <v>1680</v>
      </c>
      <c r="X80" s="30"/>
    </row>
    <row r="81" spans="1:24" x14ac:dyDescent="0.25">
      <c r="A81" s="7">
        <v>219</v>
      </c>
      <c r="B81" s="20">
        <v>45326</v>
      </c>
      <c r="C81" s="7" t="s">
        <v>306</v>
      </c>
      <c r="D81" s="7" t="s">
        <v>277</v>
      </c>
      <c r="E81" s="7" t="s">
        <v>75</v>
      </c>
      <c r="F81" s="7">
        <v>8</v>
      </c>
      <c r="G81" s="7">
        <v>916</v>
      </c>
      <c r="H81" s="7" t="s">
        <v>286</v>
      </c>
      <c r="I81" s="7" t="s">
        <v>272</v>
      </c>
      <c r="J81" s="7">
        <v>1694</v>
      </c>
      <c r="X81" s="30"/>
    </row>
    <row r="82" spans="1:24" x14ac:dyDescent="0.25">
      <c r="A82" s="7">
        <v>243</v>
      </c>
      <c r="B82" s="20">
        <v>45350</v>
      </c>
      <c r="C82" s="7" t="s">
        <v>307</v>
      </c>
      <c r="D82" s="7" t="s">
        <v>299</v>
      </c>
      <c r="E82" s="7" t="s">
        <v>259</v>
      </c>
      <c r="F82" s="7">
        <v>6</v>
      </c>
      <c r="G82" s="7">
        <v>1212</v>
      </c>
      <c r="H82" s="7" t="s">
        <v>275</v>
      </c>
      <c r="I82" s="7" t="s">
        <v>272</v>
      </c>
      <c r="J82" s="7">
        <v>1704</v>
      </c>
      <c r="X82" s="30"/>
    </row>
    <row r="83" spans="1:24" x14ac:dyDescent="0.25">
      <c r="A83" s="7">
        <v>166</v>
      </c>
      <c r="B83" s="20">
        <v>45273</v>
      </c>
      <c r="C83" s="7" t="s">
        <v>330</v>
      </c>
      <c r="D83" s="7" t="s">
        <v>320</v>
      </c>
      <c r="E83" s="7" t="s">
        <v>78</v>
      </c>
      <c r="F83" s="7">
        <v>5</v>
      </c>
      <c r="G83" s="7">
        <v>1433</v>
      </c>
      <c r="H83" s="7" t="s">
        <v>280</v>
      </c>
      <c r="I83" s="7" t="s">
        <v>285</v>
      </c>
      <c r="J83" s="7">
        <v>1732</v>
      </c>
      <c r="X83" s="30"/>
    </row>
    <row r="84" spans="1:24" x14ac:dyDescent="0.25">
      <c r="A84" s="7">
        <v>175</v>
      </c>
      <c r="B84" s="20">
        <v>45282</v>
      </c>
      <c r="C84" s="7" t="s">
        <v>306</v>
      </c>
      <c r="D84" s="7" t="s">
        <v>320</v>
      </c>
      <c r="E84" s="7" t="s">
        <v>259</v>
      </c>
      <c r="F84" s="7">
        <v>5</v>
      </c>
      <c r="G84" s="7">
        <v>1412</v>
      </c>
      <c r="H84" s="7" t="s">
        <v>268</v>
      </c>
      <c r="I84" s="7" t="s">
        <v>272</v>
      </c>
      <c r="J84" s="7">
        <v>1736</v>
      </c>
      <c r="X84" s="30"/>
    </row>
    <row r="85" spans="1:24" x14ac:dyDescent="0.25">
      <c r="A85" s="7">
        <v>250</v>
      </c>
      <c r="B85" s="20">
        <v>45357</v>
      </c>
      <c r="C85" s="7" t="s">
        <v>317</v>
      </c>
      <c r="D85" s="7" t="s">
        <v>277</v>
      </c>
      <c r="E85" s="7" t="s">
        <v>75</v>
      </c>
      <c r="F85" s="7">
        <v>5</v>
      </c>
      <c r="G85" s="7">
        <v>1411</v>
      </c>
      <c r="H85" s="7" t="s">
        <v>275</v>
      </c>
      <c r="I85" s="7" t="s">
        <v>265</v>
      </c>
      <c r="J85" s="7">
        <v>1755</v>
      </c>
      <c r="X85" s="30"/>
    </row>
    <row r="86" spans="1:24" x14ac:dyDescent="0.25">
      <c r="A86" s="7">
        <v>244</v>
      </c>
      <c r="B86" s="20">
        <v>45351</v>
      </c>
      <c r="C86" s="7" t="s">
        <v>300</v>
      </c>
      <c r="D86" s="7" t="s">
        <v>294</v>
      </c>
      <c r="E86" s="7" t="s">
        <v>75</v>
      </c>
      <c r="F86" s="7">
        <v>5</v>
      </c>
      <c r="G86" s="7">
        <v>1391</v>
      </c>
      <c r="H86" s="7" t="s">
        <v>284</v>
      </c>
      <c r="I86" s="7" t="s">
        <v>269</v>
      </c>
      <c r="J86" s="7">
        <v>1764</v>
      </c>
      <c r="X86" s="30"/>
    </row>
    <row r="87" spans="1:24" x14ac:dyDescent="0.25">
      <c r="A87" s="7">
        <v>229</v>
      </c>
      <c r="B87" s="20">
        <v>45336</v>
      </c>
      <c r="C87" s="7" t="s">
        <v>331</v>
      </c>
      <c r="D87" s="7" t="s">
        <v>277</v>
      </c>
      <c r="E87" s="7" t="s">
        <v>259</v>
      </c>
      <c r="F87" s="7">
        <v>4</v>
      </c>
      <c r="G87" s="7">
        <v>1715</v>
      </c>
      <c r="H87" s="7" t="s">
        <v>260</v>
      </c>
      <c r="I87" s="7" t="s">
        <v>269</v>
      </c>
      <c r="J87" s="7">
        <v>1808</v>
      </c>
      <c r="X87" s="30"/>
    </row>
    <row r="88" spans="1:24" x14ac:dyDescent="0.25">
      <c r="A88" s="7">
        <v>171</v>
      </c>
      <c r="B88" s="20">
        <v>45278</v>
      </c>
      <c r="C88" s="7" t="s">
        <v>293</v>
      </c>
      <c r="D88" s="7" t="s">
        <v>291</v>
      </c>
      <c r="E88" s="7" t="s">
        <v>78</v>
      </c>
      <c r="F88" s="7">
        <v>8</v>
      </c>
      <c r="G88" s="7">
        <v>857</v>
      </c>
      <c r="H88" s="7" t="s">
        <v>268</v>
      </c>
      <c r="I88" s="7" t="s">
        <v>269</v>
      </c>
      <c r="J88" s="7">
        <v>1816</v>
      </c>
      <c r="X88" s="30"/>
    </row>
    <row r="89" spans="1:24" x14ac:dyDescent="0.25">
      <c r="A89" s="7">
        <v>113</v>
      </c>
      <c r="B89" s="20">
        <v>45220</v>
      </c>
      <c r="C89" s="7" t="s">
        <v>329</v>
      </c>
      <c r="D89" s="7" t="s">
        <v>263</v>
      </c>
      <c r="E89" s="7" t="s">
        <v>75</v>
      </c>
      <c r="F89" s="7">
        <v>6</v>
      </c>
      <c r="G89" s="7">
        <v>1140</v>
      </c>
      <c r="H89" s="7" t="s">
        <v>296</v>
      </c>
      <c r="I89" s="7" t="s">
        <v>272</v>
      </c>
      <c r="J89" s="7">
        <v>1850</v>
      </c>
      <c r="X89" s="30"/>
    </row>
    <row r="90" spans="1:24" x14ac:dyDescent="0.25">
      <c r="A90" s="7">
        <v>182</v>
      </c>
      <c r="B90" s="20">
        <v>45289</v>
      </c>
      <c r="C90" s="7" t="s">
        <v>306</v>
      </c>
      <c r="D90" s="7" t="s">
        <v>320</v>
      </c>
      <c r="E90" s="7" t="s">
        <v>75</v>
      </c>
      <c r="F90" s="7">
        <v>5</v>
      </c>
      <c r="G90" s="7">
        <v>1367</v>
      </c>
      <c r="H90" s="7" t="s">
        <v>271</v>
      </c>
      <c r="I90" s="7" t="s">
        <v>261</v>
      </c>
      <c r="J90" s="7">
        <v>1869</v>
      </c>
      <c r="X90" s="30"/>
    </row>
    <row r="91" spans="1:24" x14ac:dyDescent="0.25">
      <c r="A91" s="7">
        <v>7</v>
      </c>
      <c r="B91" s="20">
        <v>45114</v>
      </c>
      <c r="C91" s="7" t="s">
        <v>257</v>
      </c>
      <c r="D91" s="7" t="s">
        <v>274</v>
      </c>
      <c r="E91" s="7" t="s">
        <v>259</v>
      </c>
      <c r="F91" s="7">
        <v>5</v>
      </c>
      <c r="G91" s="7">
        <v>1352</v>
      </c>
      <c r="H91" s="7" t="s">
        <v>264</v>
      </c>
      <c r="I91" s="7" t="s">
        <v>265</v>
      </c>
      <c r="J91" s="7">
        <v>1874</v>
      </c>
      <c r="X91" s="30"/>
    </row>
    <row r="92" spans="1:24" x14ac:dyDescent="0.25">
      <c r="A92" s="7">
        <v>198</v>
      </c>
      <c r="B92" s="20">
        <v>45305</v>
      </c>
      <c r="C92" s="7" t="s">
        <v>305</v>
      </c>
      <c r="D92" s="7" t="s">
        <v>291</v>
      </c>
      <c r="E92" s="7" t="s">
        <v>259</v>
      </c>
      <c r="F92" s="7">
        <v>5</v>
      </c>
      <c r="G92" s="7">
        <v>1340</v>
      </c>
      <c r="H92" s="7" t="s">
        <v>278</v>
      </c>
      <c r="I92" s="7" t="s">
        <v>265</v>
      </c>
      <c r="J92" s="7">
        <v>1936</v>
      </c>
      <c r="X92" s="30"/>
    </row>
    <row r="93" spans="1:24" x14ac:dyDescent="0.25">
      <c r="A93" s="7">
        <v>127</v>
      </c>
      <c r="B93" s="20">
        <v>45234</v>
      </c>
      <c r="C93" s="7" t="s">
        <v>309</v>
      </c>
      <c r="D93" s="7" t="s">
        <v>282</v>
      </c>
      <c r="E93" s="7" t="s">
        <v>259</v>
      </c>
      <c r="F93" s="7">
        <v>8</v>
      </c>
      <c r="G93" s="7">
        <v>830</v>
      </c>
      <c r="H93" s="7" t="s">
        <v>278</v>
      </c>
      <c r="I93" s="7" t="s">
        <v>272</v>
      </c>
      <c r="J93" s="7">
        <v>2000</v>
      </c>
      <c r="X93" s="30"/>
    </row>
    <row r="94" spans="1:24" x14ac:dyDescent="0.25">
      <c r="A94" s="7">
        <v>12</v>
      </c>
      <c r="B94" s="20">
        <v>45119</v>
      </c>
      <c r="C94" s="7" t="s">
        <v>287</v>
      </c>
      <c r="D94" s="7" t="s">
        <v>263</v>
      </c>
      <c r="E94" s="7" t="s">
        <v>259</v>
      </c>
      <c r="F94" s="7">
        <v>6</v>
      </c>
      <c r="G94" s="7">
        <v>1106</v>
      </c>
      <c r="H94" s="7" t="s">
        <v>280</v>
      </c>
      <c r="I94" s="7" t="s">
        <v>285</v>
      </c>
      <c r="J94" s="7">
        <v>2020</v>
      </c>
      <c r="X94" s="30"/>
    </row>
    <row r="95" spans="1:24" x14ac:dyDescent="0.25">
      <c r="A95" s="7">
        <v>57</v>
      </c>
      <c r="B95" s="20">
        <v>45164</v>
      </c>
      <c r="C95" s="7" t="s">
        <v>273</v>
      </c>
      <c r="D95" s="7" t="s">
        <v>294</v>
      </c>
      <c r="E95" s="7" t="s">
        <v>78</v>
      </c>
      <c r="F95" s="7">
        <v>4</v>
      </c>
      <c r="G95" s="7">
        <v>1655</v>
      </c>
      <c r="H95" s="7" t="s">
        <v>260</v>
      </c>
      <c r="I95" s="7" t="s">
        <v>272</v>
      </c>
      <c r="J95" s="7">
        <v>2076</v>
      </c>
      <c r="X95" s="30"/>
    </row>
    <row r="96" spans="1:24" x14ac:dyDescent="0.25">
      <c r="A96" s="7">
        <v>239</v>
      </c>
      <c r="B96" s="20">
        <v>45346</v>
      </c>
      <c r="C96" s="7" t="s">
        <v>321</v>
      </c>
      <c r="D96" s="7" t="s">
        <v>282</v>
      </c>
      <c r="E96" s="7" t="s">
        <v>78</v>
      </c>
      <c r="F96" s="7">
        <v>8</v>
      </c>
      <c r="G96" s="7">
        <v>809</v>
      </c>
      <c r="H96" s="7" t="s">
        <v>260</v>
      </c>
      <c r="I96" s="7" t="s">
        <v>272</v>
      </c>
      <c r="J96" s="7">
        <v>2078</v>
      </c>
      <c r="X96" s="30"/>
    </row>
    <row r="97" spans="1:24" x14ac:dyDescent="0.25">
      <c r="A97" s="7">
        <v>183</v>
      </c>
      <c r="B97" s="20">
        <v>45290</v>
      </c>
      <c r="C97" s="7" t="s">
        <v>302</v>
      </c>
      <c r="D97" s="7" t="s">
        <v>274</v>
      </c>
      <c r="E97" s="7" t="s">
        <v>75</v>
      </c>
      <c r="F97" s="7">
        <v>4</v>
      </c>
      <c r="G97" s="7">
        <v>1614</v>
      </c>
      <c r="H97" s="7" t="s">
        <v>280</v>
      </c>
      <c r="I97" s="7" t="s">
        <v>285</v>
      </c>
      <c r="J97" s="7">
        <v>2094</v>
      </c>
      <c r="X97" s="30"/>
    </row>
    <row r="98" spans="1:24" x14ac:dyDescent="0.25">
      <c r="A98" s="7">
        <v>238</v>
      </c>
      <c r="B98" s="20">
        <v>45345</v>
      </c>
      <c r="C98" s="7" t="s">
        <v>322</v>
      </c>
      <c r="D98" s="7" t="s">
        <v>258</v>
      </c>
      <c r="E98" s="7" t="s">
        <v>75</v>
      </c>
      <c r="F98" s="7">
        <v>6</v>
      </c>
      <c r="G98" s="7">
        <v>1075</v>
      </c>
      <c r="H98" s="7" t="s">
        <v>296</v>
      </c>
      <c r="I98" s="7" t="s">
        <v>265</v>
      </c>
      <c r="J98" s="7">
        <v>2112</v>
      </c>
      <c r="X98" s="30"/>
    </row>
    <row r="99" spans="1:24" x14ac:dyDescent="0.25">
      <c r="A99" s="7">
        <v>149</v>
      </c>
      <c r="B99" s="20">
        <v>45256</v>
      </c>
      <c r="C99" s="7" t="s">
        <v>316</v>
      </c>
      <c r="D99" s="7" t="s">
        <v>267</v>
      </c>
      <c r="E99" s="7" t="s">
        <v>78</v>
      </c>
      <c r="F99" s="7">
        <v>7</v>
      </c>
      <c r="G99" s="7">
        <v>918</v>
      </c>
      <c r="H99" s="7" t="s">
        <v>296</v>
      </c>
      <c r="I99" s="7" t="s">
        <v>285</v>
      </c>
      <c r="J99" s="7">
        <v>2145</v>
      </c>
      <c r="X99" s="30"/>
    </row>
    <row r="100" spans="1:24" x14ac:dyDescent="0.25">
      <c r="A100" s="7">
        <v>180</v>
      </c>
      <c r="B100" s="20">
        <v>45287</v>
      </c>
      <c r="C100" s="7" t="s">
        <v>297</v>
      </c>
      <c r="D100" s="7" t="s">
        <v>258</v>
      </c>
      <c r="E100" s="7" t="s">
        <v>259</v>
      </c>
      <c r="F100" s="7">
        <v>4</v>
      </c>
      <c r="G100" s="7">
        <v>1590</v>
      </c>
      <c r="H100" s="7" t="s">
        <v>271</v>
      </c>
      <c r="I100" s="7" t="s">
        <v>261</v>
      </c>
      <c r="J100" s="7">
        <v>2157</v>
      </c>
      <c r="X100" s="30"/>
    </row>
    <row r="101" spans="1:24" x14ac:dyDescent="0.25">
      <c r="A101" s="7">
        <v>105</v>
      </c>
      <c r="B101" s="20">
        <v>45212</v>
      </c>
      <c r="C101" s="7" t="s">
        <v>273</v>
      </c>
      <c r="D101" s="7" t="s">
        <v>263</v>
      </c>
      <c r="E101" s="7" t="s">
        <v>75</v>
      </c>
      <c r="F101" s="7">
        <v>5</v>
      </c>
      <c r="G101" s="7">
        <v>1269</v>
      </c>
      <c r="H101" s="7" t="s">
        <v>275</v>
      </c>
      <c r="I101" s="7" t="s">
        <v>265</v>
      </c>
      <c r="J101" s="7">
        <v>2178</v>
      </c>
      <c r="X101" s="30"/>
    </row>
    <row r="102" spans="1:24" x14ac:dyDescent="0.25">
      <c r="A102" s="7">
        <v>185</v>
      </c>
      <c r="B102" s="20">
        <v>45292</v>
      </c>
      <c r="C102" s="7" t="s">
        <v>300</v>
      </c>
      <c r="D102" s="7" t="s">
        <v>291</v>
      </c>
      <c r="E102" s="7" t="s">
        <v>78</v>
      </c>
      <c r="F102" s="7">
        <v>6</v>
      </c>
      <c r="G102" s="7">
        <v>1057</v>
      </c>
      <c r="H102" s="7" t="s">
        <v>278</v>
      </c>
      <c r="I102" s="7" t="s">
        <v>261</v>
      </c>
      <c r="J102" s="7">
        <v>2244</v>
      </c>
      <c r="X102" s="30"/>
    </row>
    <row r="103" spans="1:24" x14ac:dyDescent="0.25">
      <c r="A103" s="7">
        <v>266</v>
      </c>
      <c r="B103" s="20">
        <v>45373</v>
      </c>
      <c r="C103" s="7" t="s">
        <v>283</v>
      </c>
      <c r="D103" s="7" t="s">
        <v>294</v>
      </c>
      <c r="E103" s="7" t="s">
        <v>259</v>
      </c>
      <c r="F103" s="7">
        <v>8</v>
      </c>
      <c r="G103" s="7">
        <v>787</v>
      </c>
      <c r="H103" s="7" t="s">
        <v>271</v>
      </c>
      <c r="I103" s="7" t="s">
        <v>285</v>
      </c>
      <c r="J103" s="7">
        <v>2250</v>
      </c>
      <c r="X103" s="30"/>
    </row>
    <row r="104" spans="1:24" x14ac:dyDescent="0.25">
      <c r="A104" s="7">
        <v>211</v>
      </c>
      <c r="B104" s="20">
        <v>45318</v>
      </c>
      <c r="C104" s="7" t="s">
        <v>290</v>
      </c>
      <c r="D104" s="7" t="s">
        <v>291</v>
      </c>
      <c r="E104" s="7" t="s">
        <v>75</v>
      </c>
      <c r="F104" s="7">
        <v>4</v>
      </c>
      <c r="G104" s="7">
        <v>1558</v>
      </c>
      <c r="H104" s="7" t="s">
        <v>260</v>
      </c>
      <c r="I104" s="7" t="s">
        <v>285</v>
      </c>
      <c r="J104" s="7">
        <v>2260</v>
      </c>
      <c r="X104" s="30"/>
    </row>
    <row r="105" spans="1:24" x14ac:dyDescent="0.25">
      <c r="A105" s="7">
        <v>276</v>
      </c>
      <c r="B105" s="20">
        <v>45383</v>
      </c>
      <c r="C105" s="7" t="s">
        <v>307</v>
      </c>
      <c r="D105" s="7" t="s">
        <v>299</v>
      </c>
      <c r="E105" s="7" t="s">
        <v>75</v>
      </c>
      <c r="F105" s="7">
        <v>6</v>
      </c>
      <c r="G105" s="7">
        <v>1034</v>
      </c>
      <c r="H105" s="7" t="s">
        <v>271</v>
      </c>
      <c r="I105" s="7" t="s">
        <v>261</v>
      </c>
      <c r="J105" s="7">
        <v>2376</v>
      </c>
      <c r="X105" s="30"/>
    </row>
    <row r="106" spans="1:24" x14ac:dyDescent="0.25">
      <c r="A106" s="7">
        <v>60</v>
      </c>
      <c r="B106" s="20">
        <v>45167</v>
      </c>
      <c r="C106" s="7" t="s">
        <v>314</v>
      </c>
      <c r="D106" s="7" t="s">
        <v>274</v>
      </c>
      <c r="E106" s="7" t="s">
        <v>75</v>
      </c>
      <c r="F106" s="7">
        <v>6</v>
      </c>
      <c r="G106" s="7">
        <v>1033</v>
      </c>
      <c r="H106" s="7" t="s">
        <v>296</v>
      </c>
      <c r="I106" s="7" t="s">
        <v>261</v>
      </c>
      <c r="J106" s="7">
        <v>2400</v>
      </c>
      <c r="X106" s="30"/>
    </row>
    <row r="107" spans="1:24" x14ac:dyDescent="0.25">
      <c r="A107" s="7">
        <v>41</v>
      </c>
      <c r="B107" s="20">
        <v>45148</v>
      </c>
      <c r="C107" s="7" t="s">
        <v>276</v>
      </c>
      <c r="D107" s="7" t="s">
        <v>274</v>
      </c>
      <c r="E107" s="7" t="s">
        <v>78</v>
      </c>
      <c r="F107" s="7">
        <v>6</v>
      </c>
      <c r="G107" s="7">
        <v>1014</v>
      </c>
      <c r="H107" s="7" t="s">
        <v>264</v>
      </c>
      <c r="I107" s="7" t="s">
        <v>285</v>
      </c>
      <c r="J107" s="7">
        <v>2408</v>
      </c>
      <c r="X107" s="30"/>
    </row>
    <row r="108" spans="1:24" x14ac:dyDescent="0.25">
      <c r="A108" s="7">
        <v>63</v>
      </c>
      <c r="B108" s="20">
        <v>45170</v>
      </c>
      <c r="C108" s="7" t="s">
        <v>315</v>
      </c>
      <c r="D108" s="7" t="s">
        <v>320</v>
      </c>
      <c r="E108" s="7" t="s">
        <v>259</v>
      </c>
      <c r="F108" s="7">
        <v>6</v>
      </c>
      <c r="G108" s="7">
        <v>1004</v>
      </c>
      <c r="H108" s="7" t="s">
        <v>278</v>
      </c>
      <c r="I108" s="7" t="s">
        <v>261</v>
      </c>
      <c r="J108" s="7">
        <v>2478</v>
      </c>
      <c r="X108" s="30"/>
    </row>
    <row r="109" spans="1:24" x14ac:dyDescent="0.25">
      <c r="A109" s="7">
        <v>121</v>
      </c>
      <c r="B109" s="20">
        <v>45228</v>
      </c>
      <c r="C109" s="7" t="s">
        <v>301</v>
      </c>
      <c r="D109" s="7" t="s">
        <v>263</v>
      </c>
      <c r="E109" s="7" t="s">
        <v>259</v>
      </c>
      <c r="F109" s="7">
        <v>3</v>
      </c>
      <c r="G109" s="7">
        <v>1997</v>
      </c>
      <c r="H109" s="7" t="s">
        <v>260</v>
      </c>
      <c r="I109" s="7" t="s">
        <v>285</v>
      </c>
      <c r="J109" s="7">
        <v>2486</v>
      </c>
      <c r="X109" s="30"/>
    </row>
    <row r="110" spans="1:24" x14ac:dyDescent="0.25">
      <c r="A110" s="7">
        <v>152</v>
      </c>
      <c r="B110" s="20">
        <v>45259</v>
      </c>
      <c r="C110" s="7" t="s">
        <v>331</v>
      </c>
      <c r="D110" s="7" t="s">
        <v>299</v>
      </c>
      <c r="E110" s="7" t="s">
        <v>75</v>
      </c>
      <c r="F110" s="7">
        <v>4</v>
      </c>
      <c r="G110" s="7">
        <v>1494</v>
      </c>
      <c r="H110" s="7" t="s">
        <v>268</v>
      </c>
      <c r="I110" s="7" t="s">
        <v>272</v>
      </c>
      <c r="J110" s="7">
        <v>2535</v>
      </c>
      <c r="X110" s="30"/>
    </row>
    <row r="111" spans="1:24" x14ac:dyDescent="0.25">
      <c r="A111" s="7">
        <v>126</v>
      </c>
      <c r="B111" s="20">
        <v>45233</v>
      </c>
      <c r="C111" s="7" t="s">
        <v>287</v>
      </c>
      <c r="D111" s="7" t="s">
        <v>258</v>
      </c>
      <c r="E111" s="7" t="s">
        <v>75</v>
      </c>
      <c r="F111" s="7">
        <v>8</v>
      </c>
      <c r="G111" s="7">
        <v>745</v>
      </c>
      <c r="H111" s="7" t="s">
        <v>260</v>
      </c>
      <c r="I111" s="7" t="s">
        <v>265</v>
      </c>
      <c r="J111" s="7">
        <v>2538</v>
      </c>
      <c r="X111" s="30"/>
    </row>
    <row r="112" spans="1:24" x14ac:dyDescent="0.25">
      <c r="A112" s="7">
        <v>267</v>
      </c>
      <c r="B112" s="20">
        <v>45374</v>
      </c>
      <c r="C112" s="7" t="s">
        <v>306</v>
      </c>
      <c r="D112" s="7" t="s">
        <v>294</v>
      </c>
      <c r="E112" s="7" t="s">
        <v>75</v>
      </c>
      <c r="F112" s="7">
        <v>3</v>
      </c>
      <c r="G112" s="7">
        <v>1963</v>
      </c>
      <c r="H112" s="7" t="s">
        <v>275</v>
      </c>
      <c r="I112" s="7" t="s">
        <v>265</v>
      </c>
      <c r="J112" s="7">
        <v>2550</v>
      </c>
      <c r="X112" s="30"/>
    </row>
    <row r="113" spans="1:24" x14ac:dyDescent="0.25">
      <c r="A113" s="7">
        <v>141</v>
      </c>
      <c r="B113" s="20">
        <v>45248</v>
      </c>
      <c r="C113" s="7" t="s">
        <v>329</v>
      </c>
      <c r="D113" s="7" t="s">
        <v>294</v>
      </c>
      <c r="E113" s="7" t="s">
        <v>75</v>
      </c>
      <c r="F113" s="7">
        <v>8</v>
      </c>
      <c r="G113" s="7">
        <v>733</v>
      </c>
      <c r="H113" s="7" t="s">
        <v>284</v>
      </c>
      <c r="I113" s="7" t="s">
        <v>265</v>
      </c>
      <c r="J113" s="7">
        <v>2628</v>
      </c>
      <c r="X113" s="30"/>
    </row>
    <row r="114" spans="1:24" x14ac:dyDescent="0.25">
      <c r="A114" s="7">
        <v>70</v>
      </c>
      <c r="B114" s="20">
        <v>45177</v>
      </c>
      <c r="C114" s="7" t="s">
        <v>262</v>
      </c>
      <c r="D114" s="7" t="s">
        <v>263</v>
      </c>
      <c r="E114" s="7" t="s">
        <v>75</v>
      </c>
      <c r="F114" s="7">
        <v>6</v>
      </c>
      <c r="G114" s="7">
        <v>953</v>
      </c>
      <c r="H114" s="7" t="s">
        <v>260</v>
      </c>
      <c r="I114" s="7" t="s">
        <v>265</v>
      </c>
      <c r="J114" s="7">
        <v>2700</v>
      </c>
    </row>
    <row r="115" spans="1:24" x14ac:dyDescent="0.25">
      <c r="A115" s="7">
        <v>196</v>
      </c>
      <c r="B115" s="20">
        <v>45303</v>
      </c>
      <c r="C115" s="7" t="s">
        <v>309</v>
      </c>
      <c r="D115" s="7" t="s">
        <v>274</v>
      </c>
      <c r="E115" s="7" t="s">
        <v>259</v>
      </c>
      <c r="F115" s="7">
        <v>5</v>
      </c>
      <c r="G115" s="7">
        <v>1140</v>
      </c>
      <c r="H115" s="7" t="s">
        <v>280</v>
      </c>
      <c r="I115" s="7" t="s">
        <v>285</v>
      </c>
      <c r="J115" s="7">
        <v>2820</v>
      </c>
    </row>
    <row r="116" spans="1:24" x14ac:dyDescent="0.25">
      <c r="A116" s="7">
        <v>129</v>
      </c>
      <c r="B116" s="20">
        <v>45236</v>
      </c>
      <c r="C116" s="7" t="s">
        <v>295</v>
      </c>
      <c r="D116" s="7" t="s">
        <v>274</v>
      </c>
      <c r="E116" s="7" t="s">
        <v>75</v>
      </c>
      <c r="F116" s="7">
        <v>8</v>
      </c>
      <c r="G116" s="7">
        <v>709</v>
      </c>
      <c r="H116" s="7" t="s">
        <v>264</v>
      </c>
      <c r="I116" s="7" t="s">
        <v>269</v>
      </c>
      <c r="J116" s="7">
        <v>2835</v>
      </c>
    </row>
    <row r="117" spans="1:24" x14ac:dyDescent="0.25">
      <c r="A117" s="7">
        <v>48</v>
      </c>
      <c r="B117" s="20">
        <v>45155</v>
      </c>
      <c r="C117" s="7" t="s">
        <v>315</v>
      </c>
      <c r="D117" s="7" t="s">
        <v>274</v>
      </c>
      <c r="E117" s="7" t="s">
        <v>259</v>
      </c>
      <c r="F117" s="7">
        <v>7</v>
      </c>
      <c r="G117" s="7">
        <v>808</v>
      </c>
      <c r="H117" s="7" t="s">
        <v>271</v>
      </c>
      <c r="I117" s="7" t="s">
        <v>261</v>
      </c>
      <c r="J117" s="7">
        <v>2856</v>
      </c>
    </row>
    <row r="118" spans="1:24" x14ac:dyDescent="0.25">
      <c r="A118" s="7">
        <v>72</v>
      </c>
      <c r="B118" s="20">
        <v>45179</v>
      </c>
      <c r="C118" s="7" t="s">
        <v>316</v>
      </c>
      <c r="D118" s="7" t="s">
        <v>282</v>
      </c>
      <c r="E118" s="7" t="s">
        <v>78</v>
      </c>
      <c r="F118" s="7">
        <v>4</v>
      </c>
      <c r="G118" s="7">
        <v>1403</v>
      </c>
      <c r="H118" s="7" t="s">
        <v>296</v>
      </c>
      <c r="I118" s="7" t="s">
        <v>285</v>
      </c>
      <c r="J118" s="7">
        <v>2924</v>
      </c>
    </row>
    <row r="119" spans="1:24" x14ac:dyDescent="0.25">
      <c r="A119" s="7">
        <v>92</v>
      </c>
      <c r="B119" s="20">
        <v>45199</v>
      </c>
      <c r="C119" s="7" t="s">
        <v>302</v>
      </c>
      <c r="D119" s="7" t="s">
        <v>258</v>
      </c>
      <c r="E119" s="7" t="s">
        <v>259</v>
      </c>
      <c r="F119" s="7">
        <v>4</v>
      </c>
      <c r="G119" s="7">
        <v>1401</v>
      </c>
      <c r="H119" s="7" t="s">
        <v>275</v>
      </c>
      <c r="I119" s="7" t="s">
        <v>261</v>
      </c>
      <c r="J119" s="7">
        <v>2940</v>
      </c>
    </row>
    <row r="120" spans="1:24" x14ac:dyDescent="0.25">
      <c r="A120" s="7">
        <v>101</v>
      </c>
      <c r="B120" s="20">
        <v>45208</v>
      </c>
      <c r="C120" s="7" t="s">
        <v>311</v>
      </c>
      <c r="D120" s="7" t="s">
        <v>263</v>
      </c>
      <c r="E120" s="7" t="s">
        <v>78</v>
      </c>
      <c r="F120" s="7">
        <v>3</v>
      </c>
      <c r="G120" s="7">
        <v>1850</v>
      </c>
      <c r="H120" s="7" t="s">
        <v>286</v>
      </c>
      <c r="I120" s="7" t="s">
        <v>272</v>
      </c>
      <c r="J120" s="7">
        <v>2946</v>
      </c>
    </row>
    <row r="121" spans="1:24" x14ac:dyDescent="0.25">
      <c r="A121" s="7">
        <v>30</v>
      </c>
      <c r="B121" s="20">
        <v>45137</v>
      </c>
      <c r="C121" s="7" t="s">
        <v>303</v>
      </c>
      <c r="D121" s="7" t="s">
        <v>263</v>
      </c>
      <c r="E121" s="7" t="s">
        <v>75</v>
      </c>
      <c r="F121" s="7">
        <v>6</v>
      </c>
      <c r="G121" s="7">
        <v>922</v>
      </c>
      <c r="H121" s="7" t="s">
        <v>264</v>
      </c>
      <c r="I121" s="7" t="s">
        <v>265</v>
      </c>
      <c r="J121" s="7">
        <v>2964</v>
      </c>
    </row>
    <row r="122" spans="1:24" x14ac:dyDescent="0.25">
      <c r="A122" s="7">
        <v>116</v>
      </c>
      <c r="B122" s="20">
        <v>45223</v>
      </c>
      <c r="C122" s="7" t="s">
        <v>327</v>
      </c>
      <c r="D122" s="7" t="s">
        <v>267</v>
      </c>
      <c r="E122" s="7" t="s">
        <v>78</v>
      </c>
      <c r="F122" s="7">
        <v>5</v>
      </c>
      <c r="G122" s="7">
        <v>1097</v>
      </c>
      <c r="H122" s="7" t="s">
        <v>271</v>
      </c>
      <c r="I122" s="7" t="s">
        <v>261</v>
      </c>
      <c r="J122" s="7">
        <v>2965</v>
      </c>
    </row>
    <row r="123" spans="1:24" x14ac:dyDescent="0.25">
      <c r="A123" s="7">
        <v>148</v>
      </c>
      <c r="B123" s="20">
        <v>45255</v>
      </c>
      <c r="C123" s="7" t="s">
        <v>266</v>
      </c>
      <c r="D123" s="7" t="s">
        <v>277</v>
      </c>
      <c r="E123" s="7" t="s">
        <v>75</v>
      </c>
      <c r="F123" s="7">
        <v>3</v>
      </c>
      <c r="G123" s="7">
        <v>1828</v>
      </c>
      <c r="H123" s="7" t="s">
        <v>280</v>
      </c>
      <c r="I123" s="7" t="s">
        <v>261</v>
      </c>
      <c r="J123" s="7">
        <v>3052</v>
      </c>
    </row>
    <row r="124" spans="1:24" x14ac:dyDescent="0.25">
      <c r="A124" s="7">
        <v>59</v>
      </c>
      <c r="B124" s="20">
        <v>45166</v>
      </c>
      <c r="C124" s="7" t="s">
        <v>318</v>
      </c>
      <c r="D124" s="7" t="s">
        <v>291</v>
      </c>
      <c r="E124" s="7" t="s">
        <v>75</v>
      </c>
      <c r="F124" s="7">
        <v>6</v>
      </c>
      <c r="G124" s="7">
        <v>904</v>
      </c>
      <c r="H124" s="7" t="s">
        <v>271</v>
      </c>
      <c r="I124" s="7" t="s">
        <v>272</v>
      </c>
      <c r="J124" s="7">
        <v>3196</v>
      </c>
    </row>
    <row r="125" spans="1:24" x14ac:dyDescent="0.25">
      <c r="A125" s="7">
        <v>233</v>
      </c>
      <c r="B125" s="20">
        <v>45340</v>
      </c>
      <c r="C125" s="7" t="s">
        <v>283</v>
      </c>
      <c r="D125" s="7" t="s">
        <v>277</v>
      </c>
      <c r="E125" s="7" t="s">
        <v>78</v>
      </c>
      <c r="F125" s="7">
        <v>7</v>
      </c>
      <c r="G125" s="7">
        <v>760</v>
      </c>
      <c r="H125" s="7" t="s">
        <v>260</v>
      </c>
      <c r="I125" s="7" t="s">
        <v>265</v>
      </c>
      <c r="J125" s="7">
        <v>3198</v>
      </c>
    </row>
    <row r="126" spans="1:24" x14ac:dyDescent="0.25">
      <c r="A126" s="7">
        <v>220</v>
      </c>
      <c r="B126" s="20">
        <v>45327</v>
      </c>
      <c r="C126" s="7" t="s">
        <v>281</v>
      </c>
      <c r="D126" s="7" t="s">
        <v>299</v>
      </c>
      <c r="E126" s="7" t="s">
        <v>78</v>
      </c>
      <c r="F126" s="7">
        <v>5</v>
      </c>
      <c r="G126" s="7">
        <v>1056</v>
      </c>
      <c r="H126" s="7" t="s">
        <v>264</v>
      </c>
      <c r="I126" s="7" t="s">
        <v>265</v>
      </c>
      <c r="J126" s="7">
        <v>3200</v>
      </c>
    </row>
    <row r="127" spans="1:24" x14ac:dyDescent="0.25">
      <c r="A127" s="7">
        <v>34</v>
      </c>
      <c r="B127" s="20">
        <v>45141</v>
      </c>
      <c r="C127" s="7" t="s">
        <v>307</v>
      </c>
      <c r="D127" s="7" t="s">
        <v>263</v>
      </c>
      <c r="E127" s="7" t="s">
        <v>75</v>
      </c>
      <c r="F127" s="7">
        <v>6</v>
      </c>
      <c r="G127" s="7">
        <v>874</v>
      </c>
      <c r="H127" s="7" t="s">
        <v>268</v>
      </c>
      <c r="I127" s="7" t="s">
        <v>269</v>
      </c>
      <c r="J127" s="7">
        <v>3224</v>
      </c>
    </row>
    <row r="128" spans="1:24" x14ac:dyDescent="0.25">
      <c r="A128" s="7">
        <v>86</v>
      </c>
      <c r="B128" s="20">
        <v>45193</v>
      </c>
      <c r="C128" s="7" t="s">
        <v>307</v>
      </c>
      <c r="D128" s="7" t="s">
        <v>282</v>
      </c>
      <c r="E128" s="7" t="s">
        <v>75</v>
      </c>
      <c r="F128" s="7">
        <v>8</v>
      </c>
      <c r="G128" s="7">
        <v>651</v>
      </c>
      <c r="H128" s="7" t="s">
        <v>264</v>
      </c>
      <c r="I128" s="7" t="s">
        <v>272</v>
      </c>
      <c r="J128" s="7">
        <v>3248</v>
      </c>
    </row>
    <row r="129" spans="1:10" x14ac:dyDescent="0.25">
      <c r="A129" s="7">
        <v>143</v>
      </c>
      <c r="B129" s="20">
        <v>45250</v>
      </c>
      <c r="C129" s="7" t="s">
        <v>314</v>
      </c>
      <c r="D129" s="7" t="s">
        <v>320</v>
      </c>
      <c r="E129" s="7" t="s">
        <v>75</v>
      </c>
      <c r="F129" s="7">
        <v>3</v>
      </c>
      <c r="G129" s="7">
        <v>1699</v>
      </c>
      <c r="H129" s="7" t="s">
        <v>280</v>
      </c>
      <c r="I129" s="7" t="s">
        <v>261</v>
      </c>
      <c r="J129" s="7">
        <v>3252</v>
      </c>
    </row>
    <row r="130" spans="1:10" x14ac:dyDescent="0.25">
      <c r="A130" s="7">
        <v>262</v>
      </c>
      <c r="B130" s="20">
        <v>45369</v>
      </c>
      <c r="C130" s="7" t="s">
        <v>257</v>
      </c>
      <c r="D130" s="7" t="s">
        <v>299</v>
      </c>
      <c r="E130" s="7" t="s">
        <v>259</v>
      </c>
      <c r="F130" s="7">
        <v>7</v>
      </c>
      <c r="G130" s="7">
        <v>728</v>
      </c>
      <c r="H130" s="7" t="s">
        <v>278</v>
      </c>
      <c r="I130" s="7" t="s">
        <v>285</v>
      </c>
      <c r="J130" s="7">
        <v>3280</v>
      </c>
    </row>
    <row r="131" spans="1:10" x14ac:dyDescent="0.25">
      <c r="A131" s="7">
        <v>164</v>
      </c>
      <c r="B131" s="20">
        <v>45271</v>
      </c>
      <c r="C131" s="7" t="s">
        <v>262</v>
      </c>
      <c r="D131" s="7" t="s">
        <v>258</v>
      </c>
      <c r="E131" s="7" t="s">
        <v>78</v>
      </c>
      <c r="F131" s="7">
        <v>6</v>
      </c>
      <c r="G131" s="7">
        <v>843</v>
      </c>
      <c r="H131" s="7" t="s">
        <v>286</v>
      </c>
      <c r="I131" s="7" t="s">
        <v>269</v>
      </c>
      <c r="J131" s="7">
        <v>3282</v>
      </c>
    </row>
    <row r="132" spans="1:10" x14ac:dyDescent="0.25">
      <c r="A132" s="7">
        <v>100</v>
      </c>
      <c r="B132" s="20">
        <v>45207</v>
      </c>
      <c r="C132" s="7" t="s">
        <v>310</v>
      </c>
      <c r="D132" s="7" t="s">
        <v>299</v>
      </c>
      <c r="E132" s="7" t="s">
        <v>78</v>
      </c>
      <c r="F132" s="7">
        <v>7</v>
      </c>
      <c r="G132" s="7">
        <v>709</v>
      </c>
      <c r="H132" s="7" t="s">
        <v>275</v>
      </c>
      <c r="I132" s="7" t="s">
        <v>261</v>
      </c>
      <c r="J132" s="7">
        <v>3342</v>
      </c>
    </row>
    <row r="133" spans="1:10" x14ac:dyDescent="0.25">
      <c r="A133" s="7">
        <v>49</v>
      </c>
      <c r="B133" s="20">
        <v>45156</v>
      </c>
      <c r="C133" s="7" t="s">
        <v>311</v>
      </c>
      <c r="D133" s="7" t="s">
        <v>277</v>
      </c>
      <c r="E133" s="7" t="s">
        <v>75</v>
      </c>
      <c r="F133" s="7">
        <v>3</v>
      </c>
      <c r="G133" s="7">
        <v>1646</v>
      </c>
      <c r="H133" s="7" t="s">
        <v>284</v>
      </c>
      <c r="I133" s="7" t="s">
        <v>285</v>
      </c>
      <c r="J133" s="7">
        <v>3357</v>
      </c>
    </row>
    <row r="134" spans="1:10" x14ac:dyDescent="0.25">
      <c r="A134" s="7">
        <v>68</v>
      </c>
      <c r="B134" s="20">
        <v>45175</v>
      </c>
      <c r="C134" s="7" t="s">
        <v>305</v>
      </c>
      <c r="D134" s="7" t="s">
        <v>267</v>
      </c>
      <c r="E134" s="7" t="s">
        <v>259</v>
      </c>
      <c r="F134" s="7">
        <v>3</v>
      </c>
      <c r="G134" s="7">
        <v>1623</v>
      </c>
      <c r="H134" s="7" t="s">
        <v>280</v>
      </c>
      <c r="I134" s="7" t="s">
        <v>265</v>
      </c>
      <c r="J134" s="7">
        <v>3432</v>
      </c>
    </row>
    <row r="135" spans="1:10" x14ac:dyDescent="0.25">
      <c r="A135" s="7">
        <v>97</v>
      </c>
      <c r="B135" s="20">
        <v>45204</v>
      </c>
      <c r="C135" s="7" t="s">
        <v>326</v>
      </c>
      <c r="D135" s="7" t="s">
        <v>299</v>
      </c>
      <c r="E135" s="7" t="s">
        <v>75</v>
      </c>
      <c r="F135" s="7">
        <v>9</v>
      </c>
      <c r="G135" s="7">
        <v>541</v>
      </c>
      <c r="H135" s="7" t="s">
        <v>275</v>
      </c>
      <c r="I135" s="7" t="s">
        <v>272</v>
      </c>
      <c r="J135" s="7">
        <v>3435</v>
      </c>
    </row>
    <row r="136" spans="1:10" x14ac:dyDescent="0.25">
      <c r="A136" s="7">
        <v>17</v>
      </c>
      <c r="B136" s="20">
        <v>45124</v>
      </c>
      <c r="C136" s="7" t="s">
        <v>292</v>
      </c>
      <c r="D136" s="7" t="s">
        <v>258</v>
      </c>
      <c r="E136" s="7" t="s">
        <v>78</v>
      </c>
      <c r="F136" s="7">
        <v>4</v>
      </c>
      <c r="G136" s="7">
        <v>1211</v>
      </c>
      <c r="H136" s="7" t="s">
        <v>284</v>
      </c>
      <c r="I136" s="7" t="s">
        <v>261</v>
      </c>
      <c r="J136" s="7">
        <v>3501</v>
      </c>
    </row>
    <row r="137" spans="1:10" x14ac:dyDescent="0.25">
      <c r="A137" s="7">
        <v>280</v>
      </c>
      <c r="B137" s="20">
        <v>45387</v>
      </c>
      <c r="C137" s="7" t="s">
        <v>293</v>
      </c>
      <c r="D137" s="7" t="s">
        <v>299</v>
      </c>
      <c r="E137" s="7" t="s">
        <v>259</v>
      </c>
      <c r="F137" s="7">
        <v>3</v>
      </c>
      <c r="G137" s="7">
        <v>1613</v>
      </c>
      <c r="H137" s="7" t="s">
        <v>260</v>
      </c>
      <c r="I137" s="7" t="s">
        <v>272</v>
      </c>
      <c r="J137" s="7">
        <v>3531</v>
      </c>
    </row>
    <row r="138" spans="1:10" x14ac:dyDescent="0.25">
      <c r="A138" s="7">
        <v>257</v>
      </c>
      <c r="B138" s="20">
        <v>45364</v>
      </c>
      <c r="C138" s="7" t="s">
        <v>331</v>
      </c>
      <c r="D138" s="7" t="s">
        <v>291</v>
      </c>
      <c r="E138" s="7" t="s">
        <v>78</v>
      </c>
      <c r="F138" s="7">
        <v>4</v>
      </c>
      <c r="G138" s="7">
        <v>1209</v>
      </c>
      <c r="H138" s="7" t="s">
        <v>260</v>
      </c>
      <c r="I138" s="7" t="s">
        <v>285</v>
      </c>
      <c r="J138" s="7">
        <v>3540</v>
      </c>
    </row>
    <row r="139" spans="1:10" x14ac:dyDescent="0.25">
      <c r="A139" s="7">
        <v>8</v>
      </c>
      <c r="B139" s="20">
        <v>45115</v>
      </c>
      <c r="C139" s="7" t="s">
        <v>279</v>
      </c>
      <c r="D139" s="7" t="s">
        <v>277</v>
      </c>
      <c r="E139" s="7" t="s">
        <v>75</v>
      </c>
      <c r="F139" s="7">
        <v>7</v>
      </c>
      <c r="G139" s="7">
        <v>678</v>
      </c>
      <c r="H139" s="7" t="s">
        <v>280</v>
      </c>
      <c r="I139" s="7" t="s">
        <v>265</v>
      </c>
      <c r="J139" s="7">
        <v>3603</v>
      </c>
    </row>
    <row r="140" spans="1:10" x14ac:dyDescent="0.25">
      <c r="A140" s="7">
        <v>54</v>
      </c>
      <c r="B140" s="20">
        <v>45161</v>
      </c>
      <c r="C140" s="7" t="s">
        <v>308</v>
      </c>
      <c r="D140" s="7" t="s">
        <v>274</v>
      </c>
      <c r="E140" s="7" t="s">
        <v>259</v>
      </c>
      <c r="F140" s="7">
        <v>8</v>
      </c>
      <c r="G140" s="7">
        <v>570</v>
      </c>
      <c r="H140" s="7" t="s">
        <v>284</v>
      </c>
      <c r="I140" s="7" t="s">
        <v>265</v>
      </c>
      <c r="J140" s="7">
        <v>3624</v>
      </c>
    </row>
    <row r="141" spans="1:10" x14ac:dyDescent="0.25">
      <c r="A141" s="7">
        <v>117</v>
      </c>
      <c r="B141" s="20">
        <v>45224</v>
      </c>
      <c r="C141" s="7" t="s">
        <v>306</v>
      </c>
      <c r="D141" s="7" t="s">
        <v>294</v>
      </c>
      <c r="E141" s="7" t="s">
        <v>259</v>
      </c>
      <c r="F141" s="7">
        <v>3</v>
      </c>
      <c r="G141" s="7">
        <v>1501</v>
      </c>
      <c r="H141" s="7" t="s">
        <v>296</v>
      </c>
      <c r="I141" s="7" t="s">
        <v>272</v>
      </c>
      <c r="J141" s="7">
        <v>3652</v>
      </c>
    </row>
    <row r="142" spans="1:10" x14ac:dyDescent="0.25">
      <c r="A142" s="7">
        <v>109</v>
      </c>
      <c r="B142" s="20">
        <v>45216</v>
      </c>
      <c r="C142" s="7" t="s">
        <v>273</v>
      </c>
      <c r="D142" s="7" t="s">
        <v>291</v>
      </c>
      <c r="E142" s="7" t="s">
        <v>78</v>
      </c>
      <c r="F142" s="7">
        <v>3</v>
      </c>
      <c r="G142" s="7">
        <v>1479</v>
      </c>
      <c r="H142" s="7" t="s">
        <v>278</v>
      </c>
      <c r="I142" s="7" t="s">
        <v>261</v>
      </c>
      <c r="J142" s="7">
        <v>3700</v>
      </c>
    </row>
    <row r="143" spans="1:10" x14ac:dyDescent="0.25">
      <c r="A143" s="7">
        <v>169</v>
      </c>
      <c r="B143" s="20">
        <v>45276</v>
      </c>
      <c r="C143" s="7" t="s">
        <v>292</v>
      </c>
      <c r="D143" s="7" t="s">
        <v>299</v>
      </c>
      <c r="E143" s="7" t="s">
        <v>78</v>
      </c>
      <c r="F143" s="7">
        <v>6</v>
      </c>
      <c r="G143" s="7">
        <v>722</v>
      </c>
      <c r="H143" s="7" t="s">
        <v>296</v>
      </c>
      <c r="I143" s="7" t="s">
        <v>285</v>
      </c>
      <c r="J143" s="7">
        <v>3712</v>
      </c>
    </row>
    <row r="144" spans="1:10" x14ac:dyDescent="0.25">
      <c r="A144" s="7">
        <v>228</v>
      </c>
      <c r="B144" s="20">
        <v>45335</v>
      </c>
      <c r="C144" s="7" t="s">
        <v>316</v>
      </c>
      <c r="D144" s="7" t="s">
        <v>294</v>
      </c>
      <c r="E144" s="7" t="s">
        <v>75</v>
      </c>
      <c r="F144" s="7">
        <v>3</v>
      </c>
      <c r="G144" s="7">
        <v>1441</v>
      </c>
      <c r="H144" s="7" t="s">
        <v>278</v>
      </c>
      <c r="I144" s="7" t="s">
        <v>261</v>
      </c>
      <c r="J144" s="7">
        <v>3714</v>
      </c>
    </row>
    <row r="145" spans="1:10" x14ac:dyDescent="0.25">
      <c r="A145" s="7">
        <v>46</v>
      </c>
      <c r="B145" s="20">
        <v>45153</v>
      </c>
      <c r="C145" s="7" t="s">
        <v>302</v>
      </c>
      <c r="D145" s="7" t="s">
        <v>294</v>
      </c>
      <c r="E145" s="7" t="s">
        <v>75</v>
      </c>
      <c r="F145" s="7">
        <v>7</v>
      </c>
      <c r="G145" s="7">
        <v>613</v>
      </c>
      <c r="H145" s="7" t="s">
        <v>296</v>
      </c>
      <c r="I145" s="7" t="s">
        <v>269</v>
      </c>
      <c r="J145" s="7">
        <v>3750</v>
      </c>
    </row>
    <row r="146" spans="1:10" x14ac:dyDescent="0.25">
      <c r="A146" s="7">
        <v>80</v>
      </c>
      <c r="B146" s="20">
        <v>45187</v>
      </c>
      <c r="C146" s="7" t="s">
        <v>266</v>
      </c>
      <c r="D146" s="7" t="s">
        <v>263</v>
      </c>
      <c r="E146" s="7" t="s">
        <v>75</v>
      </c>
      <c r="F146" s="7">
        <v>5</v>
      </c>
      <c r="G146" s="7">
        <v>835</v>
      </c>
      <c r="H146" s="7" t="s">
        <v>280</v>
      </c>
      <c r="I146" s="7" t="s">
        <v>269</v>
      </c>
      <c r="J146" s="7">
        <v>3762</v>
      </c>
    </row>
    <row r="147" spans="1:10" x14ac:dyDescent="0.25">
      <c r="A147" s="7">
        <v>31</v>
      </c>
      <c r="B147" s="20">
        <v>45138</v>
      </c>
      <c r="C147" s="7" t="s">
        <v>304</v>
      </c>
      <c r="D147" s="7" t="s">
        <v>263</v>
      </c>
      <c r="E147" s="7" t="s">
        <v>259</v>
      </c>
      <c r="F147" s="7">
        <v>4</v>
      </c>
      <c r="G147" s="7">
        <v>1043</v>
      </c>
      <c r="H147" s="7" t="s">
        <v>286</v>
      </c>
      <c r="I147" s="7" t="s">
        <v>272</v>
      </c>
      <c r="J147" s="7">
        <v>3798</v>
      </c>
    </row>
    <row r="148" spans="1:10" x14ac:dyDescent="0.25">
      <c r="A148" s="7">
        <v>29</v>
      </c>
      <c r="B148" s="20">
        <v>45136</v>
      </c>
      <c r="C148" s="7" t="s">
        <v>302</v>
      </c>
      <c r="D148" s="7" t="s">
        <v>299</v>
      </c>
      <c r="E148" s="7" t="s">
        <v>259</v>
      </c>
      <c r="F148" s="7">
        <v>5</v>
      </c>
      <c r="G148" s="7">
        <v>834</v>
      </c>
      <c r="H148" s="7" t="s">
        <v>264</v>
      </c>
      <c r="I148" s="7" t="s">
        <v>272</v>
      </c>
      <c r="J148" s="7">
        <v>3813</v>
      </c>
    </row>
    <row r="149" spans="1:10" x14ac:dyDescent="0.25">
      <c r="A149" s="7">
        <v>188</v>
      </c>
      <c r="B149" s="20">
        <v>45295</v>
      </c>
      <c r="C149" s="7" t="s">
        <v>330</v>
      </c>
      <c r="D149" s="7" t="s">
        <v>258</v>
      </c>
      <c r="E149" s="7" t="s">
        <v>259</v>
      </c>
      <c r="F149" s="7">
        <v>7</v>
      </c>
      <c r="G149" s="7">
        <v>581</v>
      </c>
      <c r="H149" s="7" t="s">
        <v>286</v>
      </c>
      <c r="I149" s="7" t="s">
        <v>265</v>
      </c>
      <c r="J149" s="7">
        <v>3875</v>
      </c>
    </row>
    <row r="150" spans="1:10" x14ac:dyDescent="0.25">
      <c r="A150" s="7">
        <v>64</v>
      </c>
      <c r="B150" s="20">
        <v>45171</v>
      </c>
      <c r="C150" s="7" t="s">
        <v>289</v>
      </c>
      <c r="D150" s="7" t="s">
        <v>263</v>
      </c>
      <c r="E150" s="7" t="s">
        <v>75</v>
      </c>
      <c r="F150" s="7">
        <v>3</v>
      </c>
      <c r="G150" s="7">
        <v>1349</v>
      </c>
      <c r="H150" s="7" t="s">
        <v>275</v>
      </c>
      <c r="I150" s="7" t="s">
        <v>261</v>
      </c>
      <c r="J150" s="7">
        <v>3878</v>
      </c>
    </row>
    <row r="151" spans="1:10" x14ac:dyDescent="0.25">
      <c r="A151" s="7">
        <v>273</v>
      </c>
      <c r="B151" s="20">
        <v>45380</v>
      </c>
      <c r="C151" s="7" t="s">
        <v>305</v>
      </c>
      <c r="D151" s="7" t="s">
        <v>294</v>
      </c>
      <c r="E151" s="7" t="s">
        <v>75</v>
      </c>
      <c r="F151" s="7">
        <v>3</v>
      </c>
      <c r="G151" s="7">
        <v>1346</v>
      </c>
      <c r="H151" s="7" t="s">
        <v>264</v>
      </c>
      <c r="I151" s="7" t="s">
        <v>261</v>
      </c>
      <c r="J151" s="7">
        <v>4005</v>
      </c>
    </row>
    <row r="152" spans="1:10" x14ac:dyDescent="0.25">
      <c r="A152" s="7">
        <v>140</v>
      </c>
      <c r="B152" s="20">
        <v>45247</v>
      </c>
      <c r="C152" s="7" t="s">
        <v>328</v>
      </c>
      <c r="D152" s="7" t="s">
        <v>277</v>
      </c>
      <c r="E152" s="7" t="s">
        <v>259</v>
      </c>
      <c r="F152" s="7">
        <v>5</v>
      </c>
      <c r="G152" s="7">
        <v>801</v>
      </c>
      <c r="H152" s="7" t="s">
        <v>271</v>
      </c>
      <c r="I152" s="7" t="s">
        <v>272</v>
      </c>
      <c r="J152" s="7">
        <v>4038</v>
      </c>
    </row>
    <row r="153" spans="1:10" x14ac:dyDescent="0.25">
      <c r="A153" s="7">
        <v>133</v>
      </c>
      <c r="B153" s="20">
        <v>45240</v>
      </c>
      <c r="C153" s="7" t="s">
        <v>318</v>
      </c>
      <c r="D153" s="7" t="s">
        <v>320</v>
      </c>
      <c r="E153" s="7" t="s">
        <v>75</v>
      </c>
      <c r="F153" s="7">
        <v>7</v>
      </c>
      <c r="G153" s="7">
        <v>554</v>
      </c>
      <c r="H153" s="7" t="s">
        <v>260</v>
      </c>
      <c r="I153" s="7" t="s">
        <v>261</v>
      </c>
      <c r="J153" s="7">
        <v>4047</v>
      </c>
    </row>
    <row r="154" spans="1:10" x14ac:dyDescent="0.25">
      <c r="A154" s="7">
        <v>160</v>
      </c>
      <c r="B154" s="20">
        <v>45267</v>
      </c>
      <c r="C154" s="7" t="s">
        <v>257</v>
      </c>
      <c r="D154" s="7" t="s">
        <v>263</v>
      </c>
      <c r="E154" s="7" t="s">
        <v>259</v>
      </c>
      <c r="F154" s="7">
        <v>5</v>
      </c>
      <c r="G154" s="7">
        <v>775</v>
      </c>
      <c r="H154" s="7" t="s">
        <v>278</v>
      </c>
      <c r="I154" s="7" t="s">
        <v>269</v>
      </c>
      <c r="J154" s="7">
        <v>4067</v>
      </c>
    </row>
    <row r="155" spans="1:10" x14ac:dyDescent="0.25">
      <c r="A155" s="7">
        <v>179</v>
      </c>
      <c r="B155" s="20">
        <v>45286</v>
      </c>
      <c r="C155" s="7" t="s">
        <v>317</v>
      </c>
      <c r="D155" s="7" t="s">
        <v>282</v>
      </c>
      <c r="E155" s="7" t="s">
        <v>259</v>
      </c>
      <c r="F155" s="7">
        <v>3</v>
      </c>
      <c r="G155" s="7">
        <v>1271</v>
      </c>
      <c r="H155" s="7" t="s">
        <v>280</v>
      </c>
      <c r="I155" s="7" t="s">
        <v>261</v>
      </c>
      <c r="J155" s="7">
        <v>4170</v>
      </c>
    </row>
    <row r="156" spans="1:10" x14ac:dyDescent="0.25">
      <c r="A156" s="7">
        <v>232</v>
      </c>
      <c r="B156" s="20">
        <v>45339</v>
      </c>
      <c r="C156" s="7" t="s">
        <v>313</v>
      </c>
      <c r="D156" s="7" t="s">
        <v>294</v>
      </c>
      <c r="E156" s="7" t="s">
        <v>259</v>
      </c>
      <c r="F156" s="7">
        <v>2</v>
      </c>
      <c r="G156" s="7">
        <v>1899</v>
      </c>
      <c r="H156" s="7" t="s">
        <v>296</v>
      </c>
      <c r="I156" s="7" t="s">
        <v>272</v>
      </c>
      <c r="J156" s="7">
        <v>4172</v>
      </c>
    </row>
    <row r="157" spans="1:10" x14ac:dyDescent="0.25">
      <c r="A157" s="7">
        <v>91</v>
      </c>
      <c r="B157" s="20">
        <v>45198</v>
      </c>
      <c r="C157" s="7" t="s">
        <v>316</v>
      </c>
      <c r="D157" s="7" t="s">
        <v>277</v>
      </c>
      <c r="E157" s="7" t="s">
        <v>78</v>
      </c>
      <c r="F157" s="7">
        <v>2</v>
      </c>
      <c r="G157" s="7">
        <v>1881</v>
      </c>
      <c r="H157" s="7" t="s">
        <v>260</v>
      </c>
      <c r="I157" s="7" t="s">
        <v>285</v>
      </c>
      <c r="J157" s="7">
        <v>4175</v>
      </c>
    </row>
    <row r="158" spans="1:10" x14ac:dyDescent="0.25">
      <c r="A158" s="7">
        <v>84</v>
      </c>
      <c r="B158" s="20">
        <v>45191</v>
      </c>
      <c r="C158" s="7" t="s">
        <v>289</v>
      </c>
      <c r="D158" s="7" t="s">
        <v>320</v>
      </c>
      <c r="E158" s="7" t="s">
        <v>75</v>
      </c>
      <c r="F158" s="7">
        <v>6</v>
      </c>
      <c r="G158" s="7">
        <v>625</v>
      </c>
      <c r="H158" s="7" t="s">
        <v>278</v>
      </c>
      <c r="I158" s="7" t="s">
        <v>261</v>
      </c>
      <c r="J158" s="7">
        <v>4291</v>
      </c>
    </row>
    <row r="159" spans="1:10" x14ac:dyDescent="0.25">
      <c r="A159" s="7">
        <v>82</v>
      </c>
      <c r="B159" s="20">
        <v>45189</v>
      </c>
      <c r="C159" s="7" t="s">
        <v>314</v>
      </c>
      <c r="D159" s="7" t="s">
        <v>320</v>
      </c>
      <c r="E159" s="7" t="s">
        <v>78</v>
      </c>
      <c r="F159" s="7">
        <v>3</v>
      </c>
      <c r="G159" s="7">
        <v>1238</v>
      </c>
      <c r="H159" s="7" t="s">
        <v>280</v>
      </c>
      <c r="I159" s="7" t="s">
        <v>285</v>
      </c>
      <c r="J159" s="7">
        <v>4323</v>
      </c>
    </row>
    <row r="160" spans="1:10" x14ac:dyDescent="0.25">
      <c r="A160" s="7">
        <v>187</v>
      </c>
      <c r="B160" s="20">
        <v>45294</v>
      </c>
      <c r="C160" s="7" t="s">
        <v>304</v>
      </c>
      <c r="D160" s="7" t="s">
        <v>294</v>
      </c>
      <c r="E160" s="7" t="s">
        <v>259</v>
      </c>
      <c r="F160" s="7">
        <v>8</v>
      </c>
      <c r="G160" s="7">
        <v>464</v>
      </c>
      <c r="H160" s="7" t="s">
        <v>268</v>
      </c>
      <c r="I160" s="7" t="s">
        <v>272</v>
      </c>
      <c r="J160" s="7">
        <v>4332</v>
      </c>
    </row>
    <row r="161" spans="1:10" x14ac:dyDescent="0.25">
      <c r="A161" s="7">
        <v>235</v>
      </c>
      <c r="B161" s="20">
        <v>45342</v>
      </c>
      <c r="C161" s="7" t="s">
        <v>298</v>
      </c>
      <c r="D161" s="7" t="s">
        <v>274</v>
      </c>
      <c r="E161" s="7" t="s">
        <v>259</v>
      </c>
      <c r="F161" s="7">
        <v>2</v>
      </c>
      <c r="G161" s="7">
        <v>1850</v>
      </c>
      <c r="H161" s="7" t="s">
        <v>268</v>
      </c>
      <c r="I161" s="7" t="s">
        <v>272</v>
      </c>
      <c r="J161" s="7">
        <v>4437</v>
      </c>
    </row>
    <row r="162" spans="1:10" x14ac:dyDescent="0.25">
      <c r="A162" s="7">
        <v>21</v>
      </c>
      <c r="B162" s="20">
        <v>45128</v>
      </c>
      <c r="C162" s="7" t="s">
        <v>297</v>
      </c>
      <c r="D162" s="7" t="s">
        <v>267</v>
      </c>
      <c r="E162" s="7" t="s">
        <v>78</v>
      </c>
      <c r="F162" s="7">
        <v>4</v>
      </c>
      <c r="G162" s="7">
        <v>913</v>
      </c>
      <c r="H162" s="7" t="s">
        <v>275</v>
      </c>
      <c r="I162" s="7" t="s">
        <v>269</v>
      </c>
      <c r="J162" s="7">
        <v>4503</v>
      </c>
    </row>
    <row r="163" spans="1:10" x14ac:dyDescent="0.25">
      <c r="A163" s="7">
        <v>163</v>
      </c>
      <c r="B163" s="20">
        <v>45270</v>
      </c>
      <c r="C163" s="7" t="s">
        <v>270</v>
      </c>
      <c r="D163" s="7" t="s">
        <v>291</v>
      </c>
      <c r="E163" s="7" t="s">
        <v>78</v>
      </c>
      <c r="F163" s="7">
        <v>4</v>
      </c>
      <c r="G163" s="7">
        <v>906</v>
      </c>
      <c r="H163" s="7" t="s">
        <v>271</v>
      </c>
      <c r="I163" s="7" t="s">
        <v>265</v>
      </c>
      <c r="J163" s="7">
        <v>4560</v>
      </c>
    </row>
    <row r="164" spans="1:10" x14ac:dyDescent="0.25">
      <c r="A164" s="7">
        <v>18</v>
      </c>
      <c r="B164" s="20">
        <v>45125</v>
      </c>
      <c r="C164" s="7" t="s">
        <v>293</v>
      </c>
      <c r="D164" s="7" t="s">
        <v>291</v>
      </c>
      <c r="E164" s="7" t="s">
        <v>78</v>
      </c>
      <c r="F164" s="7">
        <v>3</v>
      </c>
      <c r="G164" s="7">
        <v>1201</v>
      </c>
      <c r="H164" s="7" t="s">
        <v>268</v>
      </c>
      <c r="I164" s="7" t="s">
        <v>261</v>
      </c>
      <c r="J164" s="7">
        <v>4746</v>
      </c>
    </row>
    <row r="165" spans="1:10" x14ac:dyDescent="0.25">
      <c r="A165" s="7">
        <v>22</v>
      </c>
      <c r="B165" s="20">
        <v>45129</v>
      </c>
      <c r="C165" s="7" t="s">
        <v>298</v>
      </c>
      <c r="D165" s="7" t="s">
        <v>267</v>
      </c>
      <c r="E165" s="7" t="s">
        <v>259</v>
      </c>
      <c r="F165" s="7">
        <v>6</v>
      </c>
      <c r="G165" s="7">
        <v>590</v>
      </c>
      <c r="H165" s="7" t="s">
        <v>260</v>
      </c>
      <c r="I165" s="7" t="s">
        <v>265</v>
      </c>
      <c r="J165" s="7">
        <v>4836</v>
      </c>
    </row>
    <row r="166" spans="1:10" x14ac:dyDescent="0.25">
      <c r="A166" s="7">
        <v>4</v>
      </c>
      <c r="B166" s="20">
        <v>45111</v>
      </c>
      <c r="C166" s="7" t="s">
        <v>270</v>
      </c>
      <c r="D166" s="7" t="s">
        <v>258</v>
      </c>
      <c r="E166" s="7" t="s">
        <v>78</v>
      </c>
      <c r="F166" s="7">
        <v>3</v>
      </c>
      <c r="G166" s="7">
        <v>1177</v>
      </c>
      <c r="H166" s="7" t="s">
        <v>271</v>
      </c>
      <c r="I166" s="7" t="s">
        <v>272</v>
      </c>
      <c r="J166" s="7">
        <v>4839</v>
      </c>
    </row>
    <row r="167" spans="1:10" x14ac:dyDescent="0.25">
      <c r="A167" s="7">
        <v>218</v>
      </c>
      <c r="B167" s="20">
        <v>45325</v>
      </c>
      <c r="C167" s="7" t="s">
        <v>293</v>
      </c>
      <c r="D167" s="7" t="s">
        <v>274</v>
      </c>
      <c r="E167" s="7" t="s">
        <v>78</v>
      </c>
      <c r="F167" s="7">
        <v>3</v>
      </c>
      <c r="G167" s="7">
        <v>1167</v>
      </c>
      <c r="H167" s="7" t="s">
        <v>296</v>
      </c>
      <c r="I167" s="7" t="s">
        <v>265</v>
      </c>
      <c r="J167" s="7">
        <v>4844</v>
      </c>
    </row>
    <row r="168" spans="1:10" x14ac:dyDescent="0.25">
      <c r="A168" s="7">
        <v>118</v>
      </c>
      <c r="B168" s="20">
        <v>45225</v>
      </c>
      <c r="C168" s="7" t="s">
        <v>310</v>
      </c>
      <c r="D168" s="7" t="s">
        <v>294</v>
      </c>
      <c r="E168" s="7" t="s">
        <v>75</v>
      </c>
      <c r="F168" s="7">
        <v>5</v>
      </c>
      <c r="G168" s="7">
        <v>687</v>
      </c>
      <c r="H168" s="7" t="s">
        <v>296</v>
      </c>
      <c r="I168" s="7" t="s">
        <v>269</v>
      </c>
      <c r="J168" s="7">
        <v>4869</v>
      </c>
    </row>
    <row r="169" spans="1:10" x14ac:dyDescent="0.25">
      <c r="A169" s="7">
        <v>33</v>
      </c>
      <c r="B169" s="20">
        <v>45140</v>
      </c>
      <c r="C169" s="7" t="s">
        <v>306</v>
      </c>
      <c r="D169" s="7" t="s">
        <v>274</v>
      </c>
      <c r="E169" s="7" t="s">
        <v>259</v>
      </c>
      <c r="F169" s="7">
        <v>8</v>
      </c>
      <c r="G169" s="7">
        <v>429</v>
      </c>
      <c r="H169" s="7" t="s">
        <v>278</v>
      </c>
      <c r="I169" s="7" t="s">
        <v>285</v>
      </c>
      <c r="J169" s="7">
        <v>4869</v>
      </c>
    </row>
    <row r="170" spans="1:10" x14ac:dyDescent="0.25">
      <c r="A170" s="7">
        <v>145</v>
      </c>
      <c r="B170" s="20">
        <v>45252</v>
      </c>
      <c r="C170" s="7" t="s">
        <v>304</v>
      </c>
      <c r="D170" s="7" t="s">
        <v>291</v>
      </c>
      <c r="E170" s="7" t="s">
        <v>78</v>
      </c>
      <c r="F170" s="7">
        <v>3</v>
      </c>
      <c r="G170" s="7">
        <v>1119</v>
      </c>
      <c r="H170" s="7" t="s">
        <v>286</v>
      </c>
      <c r="I170" s="7" t="s">
        <v>261</v>
      </c>
      <c r="J170" s="7">
        <v>4938</v>
      </c>
    </row>
    <row r="171" spans="1:10" x14ac:dyDescent="0.25">
      <c r="A171" s="7">
        <v>177</v>
      </c>
      <c r="B171" s="20">
        <v>45284</v>
      </c>
      <c r="C171" s="7" t="s">
        <v>295</v>
      </c>
      <c r="D171" s="7" t="s">
        <v>294</v>
      </c>
      <c r="E171" s="7" t="s">
        <v>75</v>
      </c>
      <c r="F171" s="7">
        <v>2</v>
      </c>
      <c r="G171" s="7">
        <v>1671</v>
      </c>
      <c r="H171" s="7" t="s">
        <v>271</v>
      </c>
      <c r="I171" s="7" t="s">
        <v>269</v>
      </c>
      <c r="J171" s="7">
        <v>4963</v>
      </c>
    </row>
    <row r="172" spans="1:10" x14ac:dyDescent="0.25">
      <c r="A172" s="7">
        <v>286</v>
      </c>
      <c r="B172" s="20">
        <v>45393</v>
      </c>
      <c r="C172" s="7" t="s">
        <v>331</v>
      </c>
      <c r="D172" s="7" t="s">
        <v>277</v>
      </c>
      <c r="E172" s="7" t="s">
        <v>259</v>
      </c>
      <c r="F172" s="7">
        <v>3</v>
      </c>
      <c r="G172" s="7">
        <v>1094</v>
      </c>
      <c r="H172" s="7" t="s">
        <v>275</v>
      </c>
      <c r="I172" s="7" t="s">
        <v>269</v>
      </c>
      <c r="J172" s="7">
        <v>5058</v>
      </c>
    </row>
    <row r="173" spans="1:10" x14ac:dyDescent="0.25">
      <c r="A173" s="7">
        <v>81</v>
      </c>
      <c r="B173" s="20">
        <v>45188</v>
      </c>
      <c r="C173" s="7" t="s">
        <v>273</v>
      </c>
      <c r="D173" s="7" t="s">
        <v>299</v>
      </c>
      <c r="E173" s="7" t="s">
        <v>259</v>
      </c>
      <c r="F173" s="7">
        <v>4</v>
      </c>
      <c r="G173" s="7">
        <v>820</v>
      </c>
      <c r="H173" s="7" t="s">
        <v>264</v>
      </c>
      <c r="I173" s="7" t="s">
        <v>269</v>
      </c>
      <c r="J173" s="7">
        <v>5096</v>
      </c>
    </row>
    <row r="174" spans="1:10" x14ac:dyDescent="0.25">
      <c r="A174" s="7">
        <v>74</v>
      </c>
      <c r="B174" s="20">
        <v>45181</v>
      </c>
      <c r="C174" s="7" t="s">
        <v>322</v>
      </c>
      <c r="D174" s="7" t="s">
        <v>282</v>
      </c>
      <c r="E174" s="7" t="s">
        <v>75</v>
      </c>
      <c r="F174" s="7">
        <v>4</v>
      </c>
      <c r="G174" s="7">
        <v>813</v>
      </c>
      <c r="H174" s="7" t="s">
        <v>271</v>
      </c>
      <c r="I174" s="7" t="s">
        <v>285</v>
      </c>
      <c r="J174" s="7">
        <v>5097</v>
      </c>
    </row>
    <row r="175" spans="1:10" x14ac:dyDescent="0.25">
      <c r="A175" s="7">
        <v>194</v>
      </c>
      <c r="B175" s="20">
        <v>45301</v>
      </c>
      <c r="C175" s="7" t="s">
        <v>304</v>
      </c>
      <c r="D175" s="7" t="s">
        <v>267</v>
      </c>
      <c r="E175" s="7" t="s">
        <v>78</v>
      </c>
      <c r="F175" s="7">
        <v>4</v>
      </c>
      <c r="G175" s="7">
        <v>812</v>
      </c>
      <c r="H175" s="7" t="s">
        <v>280</v>
      </c>
      <c r="I175" s="7" t="s">
        <v>269</v>
      </c>
      <c r="J175" s="7">
        <v>5208</v>
      </c>
    </row>
    <row r="176" spans="1:10" x14ac:dyDescent="0.25">
      <c r="A176" s="7">
        <v>53</v>
      </c>
      <c r="B176" s="20">
        <v>45160</v>
      </c>
      <c r="C176" s="7" t="s">
        <v>306</v>
      </c>
      <c r="D176" s="7" t="s">
        <v>294</v>
      </c>
      <c r="E176" s="7" t="s">
        <v>75</v>
      </c>
      <c r="F176" s="7">
        <v>4</v>
      </c>
      <c r="G176" s="7">
        <v>806</v>
      </c>
      <c r="H176" s="7" t="s">
        <v>275</v>
      </c>
      <c r="I176" s="7" t="s">
        <v>272</v>
      </c>
      <c r="J176" s="7">
        <v>5244</v>
      </c>
    </row>
    <row r="177" spans="1:10" x14ac:dyDescent="0.25">
      <c r="A177" s="7">
        <v>271</v>
      </c>
      <c r="B177" s="20">
        <v>45378</v>
      </c>
      <c r="C177" s="7" t="s">
        <v>324</v>
      </c>
      <c r="D177" s="7" t="s">
        <v>294</v>
      </c>
      <c r="E177" s="7" t="s">
        <v>259</v>
      </c>
      <c r="F177" s="7">
        <v>2</v>
      </c>
      <c r="G177" s="7">
        <v>1600</v>
      </c>
      <c r="H177" s="7" t="s">
        <v>260</v>
      </c>
      <c r="I177" s="7" t="s">
        <v>272</v>
      </c>
      <c r="J177" s="7">
        <v>5280</v>
      </c>
    </row>
    <row r="178" spans="1:10" x14ac:dyDescent="0.25">
      <c r="A178" s="7">
        <v>139</v>
      </c>
      <c r="B178" s="20">
        <v>45246</v>
      </c>
      <c r="C178" s="7" t="s">
        <v>290</v>
      </c>
      <c r="D178" s="7" t="s">
        <v>299</v>
      </c>
      <c r="E178" s="7" t="s">
        <v>75</v>
      </c>
      <c r="F178" s="7">
        <v>2</v>
      </c>
      <c r="G178" s="7">
        <v>1599</v>
      </c>
      <c r="H178" s="7" t="s">
        <v>268</v>
      </c>
      <c r="I178" s="7" t="s">
        <v>261</v>
      </c>
      <c r="J178" s="7">
        <v>5320</v>
      </c>
    </row>
    <row r="179" spans="1:10" x14ac:dyDescent="0.25">
      <c r="A179" s="7">
        <v>44</v>
      </c>
      <c r="B179" s="20">
        <v>45151</v>
      </c>
      <c r="C179" s="7" t="s">
        <v>312</v>
      </c>
      <c r="D179" s="7" t="s">
        <v>291</v>
      </c>
      <c r="E179" s="7" t="s">
        <v>78</v>
      </c>
      <c r="F179" s="7">
        <v>4</v>
      </c>
      <c r="G179" s="7">
        <v>799</v>
      </c>
      <c r="H179" s="7" t="s">
        <v>268</v>
      </c>
      <c r="I179" s="7" t="s">
        <v>272</v>
      </c>
      <c r="J179" s="7">
        <v>5424</v>
      </c>
    </row>
    <row r="180" spans="1:10" x14ac:dyDescent="0.25">
      <c r="A180" s="7">
        <v>170</v>
      </c>
      <c r="B180" s="20">
        <v>45277</v>
      </c>
      <c r="C180" s="7" t="s">
        <v>306</v>
      </c>
      <c r="D180" s="7" t="s">
        <v>258</v>
      </c>
      <c r="E180" s="7" t="s">
        <v>75</v>
      </c>
      <c r="F180" s="7">
        <v>4</v>
      </c>
      <c r="G180" s="7">
        <v>763</v>
      </c>
      <c r="H180" s="7" t="s">
        <v>271</v>
      </c>
      <c r="I180" s="7" t="s">
        <v>269</v>
      </c>
      <c r="J180" s="7">
        <v>5484</v>
      </c>
    </row>
    <row r="181" spans="1:10" x14ac:dyDescent="0.25">
      <c r="A181" s="7">
        <v>94</v>
      </c>
      <c r="B181" s="20">
        <v>45201</v>
      </c>
      <c r="C181" s="7" t="s">
        <v>327</v>
      </c>
      <c r="D181" s="7" t="s">
        <v>291</v>
      </c>
      <c r="E181" s="7" t="s">
        <v>78</v>
      </c>
      <c r="F181" s="7">
        <v>5</v>
      </c>
      <c r="G181" s="7">
        <v>593</v>
      </c>
      <c r="H181" s="7" t="s">
        <v>268</v>
      </c>
      <c r="I181" s="7" t="s">
        <v>261</v>
      </c>
      <c r="J181" s="7">
        <v>5485</v>
      </c>
    </row>
    <row r="182" spans="1:10" x14ac:dyDescent="0.25">
      <c r="A182" s="7">
        <v>89</v>
      </c>
      <c r="B182" s="20">
        <v>45196</v>
      </c>
      <c r="C182" s="7" t="s">
        <v>308</v>
      </c>
      <c r="D182" s="7" t="s">
        <v>320</v>
      </c>
      <c r="E182" s="7" t="s">
        <v>75</v>
      </c>
      <c r="F182" s="7">
        <v>2</v>
      </c>
      <c r="G182" s="7">
        <v>1482</v>
      </c>
      <c r="H182" s="7" t="s">
        <v>286</v>
      </c>
      <c r="I182" s="7" t="s">
        <v>265</v>
      </c>
      <c r="J182" s="7">
        <v>5532</v>
      </c>
    </row>
    <row r="183" spans="1:10" x14ac:dyDescent="0.25">
      <c r="A183" s="7">
        <v>265</v>
      </c>
      <c r="B183" s="20">
        <v>45372</v>
      </c>
      <c r="C183" s="7" t="s">
        <v>328</v>
      </c>
      <c r="D183" s="7" t="s">
        <v>320</v>
      </c>
      <c r="E183" s="7" t="s">
        <v>75</v>
      </c>
      <c r="F183" s="7">
        <v>3</v>
      </c>
      <c r="G183" s="7">
        <v>982</v>
      </c>
      <c r="H183" s="7" t="s">
        <v>264</v>
      </c>
      <c r="I183" s="7" t="s">
        <v>272</v>
      </c>
      <c r="J183" s="7">
        <v>5550</v>
      </c>
    </row>
    <row r="184" spans="1:10" x14ac:dyDescent="0.25">
      <c r="A184" s="7">
        <v>259</v>
      </c>
      <c r="B184" s="20">
        <v>45366</v>
      </c>
      <c r="C184" s="7" t="s">
        <v>327</v>
      </c>
      <c r="D184" s="7" t="s">
        <v>277</v>
      </c>
      <c r="E184" s="7" t="s">
        <v>78</v>
      </c>
      <c r="F184" s="7">
        <v>6</v>
      </c>
      <c r="G184" s="7">
        <v>490</v>
      </c>
      <c r="H184" s="7" t="s">
        <v>260</v>
      </c>
      <c r="I184" s="7" t="s">
        <v>269</v>
      </c>
      <c r="J184" s="7">
        <v>5604</v>
      </c>
    </row>
    <row r="185" spans="1:10" x14ac:dyDescent="0.25">
      <c r="A185" s="7">
        <v>76</v>
      </c>
      <c r="B185" s="20">
        <v>45183</v>
      </c>
      <c r="C185" s="7" t="s">
        <v>288</v>
      </c>
      <c r="D185" s="7" t="s">
        <v>291</v>
      </c>
      <c r="E185" s="7" t="s">
        <v>78</v>
      </c>
      <c r="F185" s="7">
        <v>4</v>
      </c>
      <c r="G185" s="7">
        <v>731</v>
      </c>
      <c r="H185" s="7" t="s">
        <v>264</v>
      </c>
      <c r="I185" s="7" t="s">
        <v>285</v>
      </c>
      <c r="J185" s="7">
        <v>5612</v>
      </c>
    </row>
    <row r="186" spans="1:10" x14ac:dyDescent="0.25">
      <c r="A186" s="7">
        <v>281</v>
      </c>
      <c r="B186" s="20">
        <v>45388</v>
      </c>
      <c r="C186" s="7" t="s">
        <v>328</v>
      </c>
      <c r="D186" s="7" t="s">
        <v>320</v>
      </c>
      <c r="E186" s="7" t="s">
        <v>259</v>
      </c>
      <c r="F186" s="7">
        <v>4</v>
      </c>
      <c r="G186" s="7">
        <v>714</v>
      </c>
      <c r="H186" s="7" t="s">
        <v>278</v>
      </c>
      <c r="I186" s="7" t="s">
        <v>269</v>
      </c>
      <c r="J186" s="7">
        <v>5656</v>
      </c>
    </row>
    <row r="187" spans="1:10" x14ac:dyDescent="0.25">
      <c r="A187" s="7">
        <v>230</v>
      </c>
      <c r="B187" s="20">
        <v>45337</v>
      </c>
      <c r="C187" s="7" t="s">
        <v>321</v>
      </c>
      <c r="D187" s="7" t="s">
        <v>258</v>
      </c>
      <c r="E187" s="7" t="s">
        <v>259</v>
      </c>
      <c r="F187" s="7">
        <v>9</v>
      </c>
      <c r="G187" s="7">
        <v>315</v>
      </c>
      <c r="H187" s="7" t="s">
        <v>275</v>
      </c>
      <c r="I187" s="7" t="s">
        <v>285</v>
      </c>
      <c r="J187" s="7">
        <v>5672</v>
      </c>
    </row>
    <row r="188" spans="1:10" x14ac:dyDescent="0.25">
      <c r="A188" s="7">
        <v>125</v>
      </c>
      <c r="B188" s="20">
        <v>45232</v>
      </c>
      <c r="C188" s="7" t="s">
        <v>281</v>
      </c>
      <c r="D188" s="7" t="s">
        <v>267</v>
      </c>
      <c r="E188" s="7" t="s">
        <v>78</v>
      </c>
      <c r="F188" s="7">
        <v>2</v>
      </c>
      <c r="G188" s="7">
        <v>1410</v>
      </c>
      <c r="H188" s="7" t="s">
        <v>260</v>
      </c>
      <c r="I188" s="7" t="s">
        <v>265</v>
      </c>
      <c r="J188" s="7">
        <v>5700</v>
      </c>
    </row>
    <row r="189" spans="1:10" x14ac:dyDescent="0.25">
      <c r="A189" s="7">
        <v>165</v>
      </c>
      <c r="B189" s="20">
        <v>45272</v>
      </c>
      <c r="C189" s="7" t="s">
        <v>288</v>
      </c>
      <c r="D189" s="7" t="s">
        <v>294</v>
      </c>
      <c r="E189" s="7" t="s">
        <v>78</v>
      </c>
      <c r="F189" s="7">
        <v>2</v>
      </c>
      <c r="G189" s="7">
        <v>1350</v>
      </c>
      <c r="H189" s="7" t="s">
        <v>284</v>
      </c>
      <c r="I189" s="7" t="s">
        <v>261</v>
      </c>
      <c r="J189" s="7">
        <v>5718</v>
      </c>
    </row>
    <row r="190" spans="1:10" x14ac:dyDescent="0.25">
      <c r="A190" s="7">
        <v>231</v>
      </c>
      <c r="B190" s="20">
        <v>45338</v>
      </c>
      <c r="C190" s="7" t="s">
        <v>331</v>
      </c>
      <c r="D190" s="7" t="s">
        <v>320</v>
      </c>
      <c r="E190" s="7" t="s">
        <v>259</v>
      </c>
      <c r="F190" s="7">
        <v>6</v>
      </c>
      <c r="G190" s="7">
        <v>438</v>
      </c>
      <c r="H190" s="7" t="s">
        <v>264</v>
      </c>
      <c r="I190" s="7" t="s">
        <v>285</v>
      </c>
      <c r="J190" s="7">
        <v>5864</v>
      </c>
    </row>
    <row r="191" spans="1:10" x14ac:dyDescent="0.25">
      <c r="A191" s="7">
        <v>178</v>
      </c>
      <c r="B191" s="20">
        <v>45285</v>
      </c>
      <c r="C191" s="7" t="s">
        <v>295</v>
      </c>
      <c r="D191" s="7" t="s">
        <v>258</v>
      </c>
      <c r="E191" s="7" t="s">
        <v>259</v>
      </c>
      <c r="F191" s="7">
        <v>3</v>
      </c>
      <c r="G191" s="7">
        <v>850</v>
      </c>
      <c r="H191" s="7" t="s">
        <v>264</v>
      </c>
      <c r="I191" s="7" t="s">
        <v>285</v>
      </c>
      <c r="J191" s="7">
        <v>5889</v>
      </c>
    </row>
    <row r="192" spans="1:10" x14ac:dyDescent="0.25">
      <c r="A192" s="7">
        <v>296</v>
      </c>
      <c r="B192" s="20">
        <v>45403</v>
      </c>
      <c r="C192" s="7" t="s">
        <v>300</v>
      </c>
      <c r="D192" s="7" t="s">
        <v>320</v>
      </c>
      <c r="E192" s="7" t="s">
        <v>259</v>
      </c>
      <c r="F192" s="7">
        <v>9</v>
      </c>
      <c r="G192" s="7">
        <v>282</v>
      </c>
      <c r="H192" s="7" t="s">
        <v>280</v>
      </c>
      <c r="I192" s="7" t="s">
        <v>261</v>
      </c>
      <c r="J192" s="7">
        <v>5960</v>
      </c>
    </row>
    <row r="193" spans="1:10" x14ac:dyDescent="0.25">
      <c r="A193" s="7">
        <v>50</v>
      </c>
      <c r="B193" s="20">
        <v>45157</v>
      </c>
      <c r="C193" s="7" t="s">
        <v>316</v>
      </c>
      <c r="D193" s="7" t="s">
        <v>294</v>
      </c>
      <c r="E193" s="7" t="s">
        <v>78</v>
      </c>
      <c r="F193" s="7">
        <v>3</v>
      </c>
      <c r="G193" s="7">
        <v>845</v>
      </c>
      <c r="H193" s="7" t="s">
        <v>260</v>
      </c>
      <c r="I193" s="7" t="s">
        <v>269</v>
      </c>
      <c r="J193" s="7">
        <v>5976</v>
      </c>
    </row>
    <row r="194" spans="1:10" x14ac:dyDescent="0.25">
      <c r="A194" s="7">
        <v>20</v>
      </c>
      <c r="B194" s="20">
        <v>45127</v>
      </c>
      <c r="C194" s="7" t="s">
        <v>295</v>
      </c>
      <c r="D194" s="7" t="s">
        <v>258</v>
      </c>
      <c r="E194" s="7" t="s">
        <v>259</v>
      </c>
      <c r="F194" s="7">
        <v>2</v>
      </c>
      <c r="G194" s="7">
        <v>1243</v>
      </c>
      <c r="H194" s="7" t="s">
        <v>296</v>
      </c>
      <c r="I194" s="7" t="s">
        <v>285</v>
      </c>
      <c r="J194" s="7">
        <v>5991</v>
      </c>
    </row>
    <row r="195" spans="1:10" x14ac:dyDescent="0.25">
      <c r="A195" s="7">
        <v>270</v>
      </c>
      <c r="B195" s="20">
        <v>45377</v>
      </c>
      <c r="C195" s="7" t="s">
        <v>281</v>
      </c>
      <c r="D195" s="7" t="s">
        <v>258</v>
      </c>
      <c r="E195" s="7" t="s">
        <v>78</v>
      </c>
      <c r="F195" s="7">
        <v>3</v>
      </c>
      <c r="G195" s="7">
        <v>826</v>
      </c>
      <c r="H195" s="7" t="s">
        <v>286</v>
      </c>
      <c r="I195" s="7" t="s">
        <v>285</v>
      </c>
      <c r="J195" s="7">
        <v>6024</v>
      </c>
    </row>
    <row r="196" spans="1:10" x14ac:dyDescent="0.25">
      <c r="A196" s="7">
        <v>234</v>
      </c>
      <c r="B196" s="20">
        <v>45341</v>
      </c>
      <c r="C196" s="7" t="s">
        <v>319</v>
      </c>
      <c r="D196" s="7" t="s">
        <v>267</v>
      </c>
      <c r="E196" s="7" t="s">
        <v>75</v>
      </c>
      <c r="F196" s="7">
        <v>2</v>
      </c>
      <c r="G196" s="7">
        <v>1204</v>
      </c>
      <c r="H196" s="7" t="s">
        <v>278</v>
      </c>
      <c r="I196" s="7" t="s">
        <v>269</v>
      </c>
      <c r="J196" s="7">
        <v>6084</v>
      </c>
    </row>
    <row r="197" spans="1:10" x14ac:dyDescent="0.25">
      <c r="A197" s="7">
        <v>189</v>
      </c>
      <c r="B197" s="20">
        <v>45296</v>
      </c>
      <c r="C197" s="7" t="s">
        <v>327</v>
      </c>
      <c r="D197" s="7" t="s">
        <v>267</v>
      </c>
      <c r="E197" s="7" t="s">
        <v>78</v>
      </c>
      <c r="F197" s="7">
        <v>8</v>
      </c>
      <c r="G197" s="7">
        <v>300</v>
      </c>
      <c r="H197" s="7" t="s">
        <v>268</v>
      </c>
      <c r="I197" s="7" t="s">
        <v>272</v>
      </c>
      <c r="J197" s="7">
        <v>6198</v>
      </c>
    </row>
    <row r="198" spans="1:10" x14ac:dyDescent="0.25">
      <c r="A198" s="7">
        <v>150</v>
      </c>
      <c r="B198" s="20">
        <v>45257</v>
      </c>
      <c r="C198" s="7" t="s">
        <v>305</v>
      </c>
      <c r="D198" s="7" t="s">
        <v>294</v>
      </c>
      <c r="E198" s="7" t="s">
        <v>75</v>
      </c>
      <c r="F198" s="7">
        <v>3</v>
      </c>
      <c r="G198" s="7">
        <v>792</v>
      </c>
      <c r="H198" s="7" t="s">
        <v>284</v>
      </c>
      <c r="I198" s="7" t="s">
        <v>285</v>
      </c>
      <c r="J198" s="7">
        <v>6204</v>
      </c>
    </row>
    <row r="199" spans="1:10" x14ac:dyDescent="0.25">
      <c r="A199" s="7">
        <v>242</v>
      </c>
      <c r="B199" s="20">
        <v>45349</v>
      </c>
      <c r="C199" s="7" t="s">
        <v>325</v>
      </c>
      <c r="D199" s="7" t="s">
        <v>267</v>
      </c>
      <c r="E199" s="7" t="s">
        <v>259</v>
      </c>
      <c r="F199" s="7">
        <v>4</v>
      </c>
      <c r="G199" s="7">
        <v>565</v>
      </c>
      <c r="H199" s="7" t="s">
        <v>268</v>
      </c>
      <c r="I199" s="7" t="s">
        <v>285</v>
      </c>
      <c r="J199" s="7">
        <v>6232</v>
      </c>
    </row>
    <row r="200" spans="1:10" x14ac:dyDescent="0.25">
      <c r="A200" s="7">
        <v>36</v>
      </c>
      <c r="B200" s="20">
        <v>45143</v>
      </c>
      <c r="C200" s="7" t="s">
        <v>308</v>
      </c>
      <c r="D200" s="7" t="s">
        <v>282</v>
      </c>
      <c r="E200" s="7" t="s">
        <v>75</v>
      </c>
      <c r="F200" s="7">
        <v>9</v>
      </c>
      <c r="G200" s="7">
        <v>250</v>
      </c>
      <c r="H200" s="7" t="s">
        <v>296</v>
      </c>
      <c r="I200" s="7" t="s">
        <v>272</v>
      </c>
      <c r="J200" s="7">
        <v>6296</v>
      </c>
    </row>
    <row r="201" spans="1:10" x14ac:dyDescent="0.25">
      <c r="A201" s="7">
        <v>216</v>
      </c>
      <c r="B201" s="20">
        <v>45323</v>
      </c>
      <c r="C201" s="7" t="s">
        <v>303</v>
      </c>
      <c r="D201" s="7" t="s">
        <v>320</v>
      </c>
      <c r="E201" s="7" t="s">
        <v>75</v>
      </c>
      <c r="F201" s="7">
        <v>6</v>
      </c>
      <c r="G201" s="7">
        <v>374</v>
      </c>
      <c r="H201" s="7" t="s">
        <v>286</v>
      </c>
      <c r="I201" s="7" t="s">
        <v>265</v>
      </c>
      <c r="J201" s="7">
        <v>6342</v>
      </c>
    </row>
    <row r="202" spans="1:10" x14ac:dyDescent="0.25">
      <c r="A202" s="7">
        <v>274</v>
      </c>
      <c r="B202" s="20">
        <v>45381</v>
      </c>
      <c r="C202" s="7" t="s">
        <v>318</v>
      </c>
      <c r="D202" s="7" t="s">
        <v>299</v>
      </c>
      <c r="E202" s="7" t="s">
        <v>75</v>
      </c>
      <c r="F202" s="7">
        <v>2</v>
      </c>
      <c r="G202" s="7">
        <v>1089</v>
      </c>
      <c r="H202" s="7" t="s">
        <v>275</v>
      </c>
      <c r="I202" s="7" t="s">
        <v>269</v>
      </c>
      <c r="J202" s="7">
        <v>6345</v>
      </c>
    </row>
    <row r="203" spans="1:10" x14ac:dyDescent="0.25">
      <c r="A203" s="7">
        <v>287</v>
      </c>
      <c r="B203" s="20">
        <v>45394</v>
      </c>
      <c r="C203" s="7" t="s">
        <v>311</v>
      </c>
      <c r="D203" s="7" t="s">
        <v>320</v>
      </c>
      <c r="E203" s="7" t="s">
        <v>78</v>
      </c>
      <c r="F203" s="7">
        <v>3</v>
      </c>
      <c r="G203" s="7">
        <v>719</v>
      </c>
      <c r="H203" s="7" t="s">
        <v>264</v>
      </c>
      <c r="I203" s="7" t="s">
        <v>269</v>
      </c>
      <c r="J203" s="7">
        <v>6360</v>
      </c>
    </row>
    <row r="204" spans="1:10" x14ac:dyDescent="0.25">
      <c r="A204" s="7">
        <v>222</v>
      </c>
      <c r="B204" s="20">
        <v>45329</v>
      </c>
      <c r="C204" s="7" t="s">
        <v>331</v>
      </c>
      <c r="D204" s="7" t="s">
        <v>320</v>
      </c>
      <c r="E204" s="7" t="s">
        <v>78</v>
      </c>
      <c r="F204" s="7">
        <v>5</v>
      </c>
      <c r="G204" s="7">
        <v>429</v>
      </c>
      <c r="H204" s="7" t="s">
        <v>271</v>
      </c>
      <c r="I204" s="7" t="s">
        <v>272</v>
      </c>
      <c r="J204" s="7">
        <v>6426</v>
      </c>
    </row>
    <row r="205" spans="1:10" x14ac:dyDescent="0.25">
      <c r="A205" s="7">
        <v>25</v>
      </c>
      <c r="B205" s="20">
        <v>45132</v>
      </c>
      <c r="C205" s="7" t="s">
        <v>300</v>
      </c>
      <c r="D205" s="7" t="s">
        <v>291</v>
      </c>
      <c r="E205" s="7" t="s">
        <v>78</v>
      </c>
      <c r="F205" s="7">
        <v>8</v>
      </c>
      <c r="G205" s="7">
        <v>264</v>
      </c>
      <c r="H205" s="7" t="s">
        <v>275</v>
      </c>
      <c r="I205" s="7" t="s">
        <v>269</v>
      </c>
      <c r="J205" s="7">
        <v>6450</v>
      </c>
    </row>
    <row r="206" spans="1:10" x14ac:dyDescent="0.25">
      <c r="A206" s="7">
        <v>258</v>
      </c>
      <c r="B206" s="20">
        <v>45365</v>
      </c>
      <c r="C206" s="7" t="s">
        <v>310</v>
      </c>
      <c r="D206" s="7" t="s">
        <v>258</v>
      </c>
      <c r="E206" s="7" t="s">
        <v>75</v>
      </c>
      <c r="F206" s="7">
        <v>6</v>
      </c>
      <c r="G206" s="7">
        <v>349</v>
      </c>
      <c r="H206" s="7" t="s">
        <v>264</v>
      </c>
      <c r="I206" s="7" t="s">
        <v>265</v>
      </c>
      <c r="J206" s="7">
        <v>6456</v>
      </c>
    </row>
    <row r="207" spans="1:10" x14ac:dyDescent="0.25">
      <c r="A207" s="7">
        <v>66</v>
      </c>
      <c r="B207" s="20">
        <v>45173</v>
      </c>
      <c r="C207" s="7" t="s">
        <v>293</v>
      </c>
      <c r="D207" s="7" t="s">
        <v>274</v>
      </c>
      <c r="E207" s="7" t="s">
        <v>78</v>
      </c>
      <c r="F207" s="7">
        <v>2</v>
      </c>
      <c r="G207" s="7">
        <v>1039</v>
      </c>
      <c r="H207" s="7" t="s">
        <v>275</v>
      </c>
      <c r="I207" s="7" t="s">
        <v>261</v>
      </c>
      <c r="J207" s="7">
        <v>6472</v>
      </c>
    </row>
    <row r="208" spans="1:10" x14ac:dyDescent="0.25">
      <c r="A208" s="7">
        <v>73</v>
      </c>
      <c r="B208" s="20">
        <v>45180</v>
      </c>
      <c r="C208" s="7" t="s">
        <v>295</v>
      </c>
      <c r="D208" s="7" t="s">
        <v>320</v>
      </c>
      <c r="E208" s="7" t="s">
        <v>78</v>
      </c>
      <c r="F208" s="7">
        <v>3</v>
      </c>
      <c r="G208" s="7">
        <v>692</v>
      </c>
      <c r="H208" s="7" t="s">
        <v>296</v>
      </c>
      <c r="I208" s="7" t="s">
        <v>272</v>
      </c>
      <c r="J208" s="7">
        <v>6620</v>
      </c>
    </row>
    <row r="209" spans="1:10" x14ac:dyDescent="0.25">
      <c r="A209" s="7">
        <v>172</v>
      </c>
      <c r="B209" s="20">
        <v>45279</v>
      </c>
      <c r="C209" s="7" t="s">
        <v>305</v>
      </c>
      <c r="D209" s="7" t="s">
        <v>294</v>
      </c>
      <c r="E209" s="7" t="s">
        <v>75</v>
      </c>
      <c r="F209" s="7">
        <v>4</v>
      </c>
      <c r="G209" s="7">
        <v>505</v>
      </c>
      <c r="H209" s="7" t="s">
        <v>268</v>
      </c>
      <c r="I209" s="7" t="s">
        <v>285</v>
      </c>
      <c r="J209" s="7">
        <v>6636</v>
      </c>
    </row>
    <row r="210" spans="1:10" x14ac:dyDescent="0.25">
      <c r="A210" s="7">
        <v>254</v>
      </c>
      <c r="B210" s="20">
        <v>45361</v>
      </c>
      <c r="C210" s="7" t="s">
        <v>290</v>
      </c>
      <c r="D210" s="7" t="s">
        <v>277</v>
      </c>
      <c r="E210" s="7" t="s">
        <v>75</v>
      </c>
      <c r="F210" s="7">
        <v>4</v>
      </c>
      <c r="G210" s="7">
        <v>500</v>
      </c>
      <c r="H210" s="7" t="s">
        <v>296</v>
      </c>
      <c r="I210" s="7" t="s">
        <v>269</v>
      </c>
      <c r="J210" s="7">
        <v>6640</v>
      </c>
    </row>
    <row r="211" spans="1:10" x14ac:dyDescent="0.25">
      <c r="A211" s="7">
        <v>289</v>
      </c>
      <c r="B211" s="20">
        <v>45396</v>
      </c>
      <c r="C211" s="7" t="s">
        <v>318</v>
      </c>
      <c r="D211" s="7" t="s">
        <v>291</v>
      </c>
      <c r="E211" s="7" t="s">
        <v>75</v>
      </c>
      <c r="F211" s="7">
        <v>1</v>
      </c>
      <c r="G211" s="7">
        <v>1936</v>
      </c>
      <c r="H211" s="7" t="s">
        <v>280</v>
      </c>
      <c r="I211" s="7" t="s">
        <v>272</v>
      </c>
      <c r="J211" s="7">
        <v>6700</v>
      </c>
    </row>
    <row r="212" spans="1:10" x14ac:dyDescent="0.25">
      <c r="A212" s="7">
        <v>104</v>
      </c>
      <c r="B212" s="20">
        <v>45211</v>
      </c>
      <c r="C212" s="7" t="s">
        <v>295</v>
      </c>
      <c r="D212" s="7" t="s">
        <v>320</v>
      </c>
      <c r="E212" s="7" t="s">
        <v>259</v>
      </c>
      <c r="F212" s="7">
        <v>2</v>
      </c>
      <c r="G212" s="7">
        <v>937</v>
      </c>
      <c r="H212" s="7" t="s">
        <v>280</v>
      </c>
      <c r="I212" s="7" t="s">
        <v>285</v>
      </c>
      <c r="J212" s="7">
        <v>6760</v>
      </c>
    </row>
    <row r="213" spans="1:10" x14ac:dyDescent="0.25">
      <c r="A213" s="7">
        <v>128</v>
      </c>
      <c r="B213" s="20">
        <v>45235</v>
      </c>
      <c r="C213" s="7" t="s">
        <v>318</v>
      </c>
      <c r="D213" s="7" t="s">
        <v>320</v>
      </c>
      <c r="E213" s="7" t="s">
        <v>259</v>
      </c>
      <c r="F213" s="7">
        <v>7</v>
      </c>
      <c r="G213" s="7">
        <v>267</v>
      </c>
      <c r="H213" s="7" t="s">
        <v>260</v>
      </c>
      <c r="I213" s="7" t="s">
        <v>261</v>
      </c>
      <c r="J213" s="7">
        <v>6835</v>
      </c>
    </row>
    <row r="214" spans="1:10" x14ac:dyDescent="0.25">
      <c r="A214" s="7">
        <v>78</v>
      </c>
      <c r="B214" s="20">
        <v>45185</v>
      </c>
      <c r="C214" s="7" t="s">
        <v>324</v>
      </c>
      <c r="D214" s="7" t="s">
        <v>291</v>
      </c>
      <c r="E214" s="7" t="s">
        <v>78</v>
      </c>
      <c r="F214" s="7">
        <v>1</v>
      </c>
      <c r="G214" s="7">
        <v>1850</v>
      </c>
      <c r="H214" s="7" t="s">
        <v>286</v>
      </c>
      <c r="I214" s="7" t="s">
        <v>261</v>
      </c>
      <c r="J214" s="7">
        <v>6840</v>
      </c>
    </row>
    <row r="215" spans="1:10" x14ac:dyDescent="0.25">
      <c r="A215" s="7">
        <v>106</v>
      </c>
      <c r="B215" s="20">
        <v>45213</v>
      </c>
      <c r="C215" s="7" t="s">
        <v>287</v>
      </c>
      <c r="D215" s="7" t="s">
        <v>320</v>
      </c>
      <c r="E215" s="7" t="s">
        <v>75</v>
      </c>
      <c r="F215" s="7">
        <v>8</v>
      </c>
      <c r="G215" s="7">
        <v>227</v>
      </c>
      <c r="H215" s="7" t="s">
        <v>260</v>
      </c>
      <c r="I215" s="7" t="s">
        <v>269</v>
      </c>
      <c r="J215" s="7">
        <v>6856</v>
      </c>
    </row>
    <row r="216" spans="1:10" x14ac:dyDescent="0.25">
      <c r="A216" s="7">
        <v>292</v>
      </c>
      <c r="B216" s="20">
        <v>45399</v>
      </c>
      <c r="C216" s="7" t="s">
        <v>307</v>
      </c>
      <c r="D216" s="7" t="s">
        <v>267</v>
      </c>
      <c r="E216" s="7" t="s">
        <v>259</v>
      </c>
      <c r="F216" s="7">
        <v>2</v>
      </c>
      <c r="G216" s="7">
        <v>904</v>
      </c>
      <c r="H216" s="7" t="s">
        <v>278</v>
      </c>
      <c r="I216" s="7" t="s">
        <v>285</v>
      </c>
      <c r="J216" s="7">
        <v>6860</v>
      </c>
    </row>
    <row r="217" spans="1:10" x14ac:dyDescent="0.25">
      <c r="A217" s="7">
        <v>122</v>
      </c>
      <c r="B217" s="20">
        <v>45229</v>
      </c>
      <c r="C217" s="7" t="s">
        <v>322</v>
      </c>
      <c r="D217" s="7" t="s">
        <v>258</v>
      </c>
      <c r="E217" s="7" t="s">
        <v>75</v>
      </c>
      <c r="F217" s="7">
        <v>4</v>
      </c>
      <c r="G217" s="7">
        <v>441</v>
      </c>
      <c r="H217" s="7" t="s">
        <v>286</v>
      </c>
      <c r="I217" s="7" t="s">
        <v>272</v>
      </c>
      <c r="J217" s="7">
        <v>6955</v>
      </c>
    </row>
    <row r="218" spans="1:10" x14ac:dyDescent="0.25">
      <c r="A218" s="7">
        <v>16</v>
      </c>
      <c r="B218" s="20">
        <v>45123</v>
      </c>
      <c r="C218" s="7" t="s">
        <v>290</v>
      </c>
      <c r="D218" s="7" t="s">
        <v>291</v>
      </c>
      <c r="E218" s="7" t="s">
        <v>259</v>
      </c>
      <c r="F218" s="7">
        <v>9</v>
      </c>
      <c r="G218" s="7">
        <v>195</v>
      </c>
      <c r="H218" s="7" t="s">
        <v>286</v>
      </c>
      <c r="I218" s="7" t="s">
        <v>269</v>
      </c>
      <c r="J218" s="7">
        <v>7055</v>
      </c>
    </row>
    <row r="219" spans="1:10" x14ac:dyDescent="0.25">
      <c r="A219" s="7">
        <v>155</v>
      </c>
      <c r="B219" s="20">
        <v>45262</v>
      </c>
      <c r="C219" s="7" t="s">
        <v>331</v>
      </c>
      <c r="D219" s="7" t="s">
        <v>299</v>
      </c>
      <c r="E219" s="7" t="s">
        <v>75</v>
      </c>
      <c r="F219" s="7">
        <v>7</v>
      </c>
      <c r="G219" s="7">
        <v>248</v>
      </c>
      <c r="H219" s="7" t="s">
        <v>278</v>
      </c>
      <c r="I219" s="7" t="s">
        <v>272</v>
      </c>
      <c r="J219" s="7">
        <v>7060</v>
      </c>
    </row>
    <row r="220" spans="1:10" x14ac:dyDescent="0.25">
      <c r="A220" s="7">
        <v>10</v>
      </c>
      <c r="B220" s="20">
        <v>45117</v>
      </c>
      <c r="C220" s="7" t="s">
        <v>283</v>
      </c>
      <c r="D220" s="7" t="s">
        <v>282</v>
      </c>
      <c r="E220" s="7" t="s">
        <v>78</v>
      </c>
      <c r="F220" s="7">
        <v>1</v>
      </c>
      <c r="G220" s="7">
        <v>1732</v>
      </c>
      <c r="H220" s="7" t="s">
        <v>284</v>
      </c>
      <c r="I220" s="7" t="s">
        <v>285</v>
      </c>
      <c r="J220" s="7">
        <v>7165</v>
      </c>
    </row>
    <row r="221" spans="1:10" x14ac:dyDescent="0.25">
      <c r="A221" s="7">
        <v>27</v>
      </c>
      <c r="B221" s="20">
        <v>45134</v>
      </c>
      <c r="C221" s="7" t="s">
        <v>292</v>
      </c>
      <c r="D221" s="7" t="s">
        <v>274</v>
      </c>
      <c r="E221" s="7" t="s">
        <v>78</v>
      </c>
      <c r="F221" s="7">
        <v>3</v>
      </c>
      <c r="G221" s="7">
        <v>568</v>
      </c>
      <c r="H221" s="7" t="s">
        <v>268</v>
      </c>
      <c r="I221" s="7" t="s">
        <v>261</v>
      </c>
      <c r="J221" s="7">
        <v>7272</v>
      </c>
    </row>
    <row r="222" spans="1:10" x14ac:dyDescent="0.25">
      <c r="A222" s="7">
        <v>246</v>
      </c>
      <c r="B222" s="20">
        <v>45353</v>
      </c>
      <c r="C222" s="7" t="s">
        <v>321</v>
      </c>
      <c r="D222" s="7" t="s">
        <v>299</v>
      </c>
      <c r="E222" s="7" t="s">
        <v>78</v>
      </c>
      <c r="F222" s="7">
        <v>1</v>
      </c>
      <c r="G222" s="7">
        <v>1694</v>
      </c>
      <c r="H222" s="7" t="s">
        <v>268</v>
      </c>
      <c r="I222" s="7" t="s">
        <v>272</v>
      </c>
      <c r="J222" s="7">
        <v>7328</v>
      </c>
    </row>
    <row r="223" spans="1:10" x14ac:dyDescent="0.25">
      <c r="A223" s="7">
        <v>87</v>
      </c>
      <c r="B223" s="20">
        <v>45194</v>
      </c>
      <c r="C223" s="7" t="s">
        <v>326</v>
      </c>
      <c r="D223" s="7" t="s">
        <v>277</v>
      </c>
      <c r="E223" s="7" t="s">
        <v>75</v>
      </c>
      <c r="F223" s="7">
        <v>5</v>
      </c>
      <c r="G223" s="7">
        <v>336</v>
      </c>
      <c r="H223" s="7" t="s">
        <v>260</v>
      </c>
      <c r="I223" s="7" t="s">
        <v>285</v>
      </c>
      <c r="J223" s="7">
        <v>7392</v>
      </c>
    </row>
    <row r="224" spans="1:10" x14ac:dyDescent="0.25">
      <c r="A224" s="7">
        <v>264</v>
      </c>
      <c r="B224" s="20">
        <v>45371</v>
      </c>
      <c r="C224" s="7" t="s">
        <v>289</v>
      </c>
      <c r="D224" s="7" t="s">
        <v>274</v>
      </c>
      <c r="E224" s="7" t="s">
        <v>78</v>
      </c>
      <c r="F224" s="7">
        <v>7</v>
      </c>
      <c r="G224" s="7">
        <v>236</v>
      </c>
      <c r="H224" s="7" t="s">
        <v>275</v>
      </c>
      <c r="I224" s="7" t="s">
        <v>272</v>
      </c>
      <c r="J224" s="7">
        <v>7408</v>
      </c>
    </row>
    <row r="225" spans="1:10" x14ac:dyDescent="0.25">
      <c r="A225" s="7">
        <v>263</v>
      </c>
      <c r="B225" s="20">
        <v>45370</v>
      </c>
      <c r="C225" s="7" t="s">
        <v>312</v>
      </c>
      <c r="D225" s="7" t="s">
        <v>258</v>
      </c>
      <c r="E225" s="7" t="s">
        <v>75</v>
      </c>
      <c r="F225" s="7">
        <v>1</v>
      </c>
      <c r="G225" s="7">
        <v>1642</v>
      </c>
      <c r="H225" s="7" t="s">
        <v>271</v>
      </c>
      <c r="I225" s="7" t="s">
        <v>261</v>
      </c>
      <c r="J225" s="7">
        <v>7448</v>
      </c>
    </row>
    <row r="226" spans="1:10" x14ac:dyDescent="0.25">
      <c r="A226" s="7">
        <v>159</v>
      </c>
      <c r="B226" s="20">
        <v>45266</v>
      </c>
      <c r="C226" s="7" t="s">
        <v>281</v>
      </c>
      <c r="D226" s="7" t="s">
        <v>294</v>
      </c>
      <c r="E226" s="7" t="s">
        <v>78</v>
      </c>
      <c r="F226" s="7">
        <v>1</v>
      </c>
      <c r="G226" s="7">
        <v>1635</v>
      </c>
      <c r="H226" s="7" t="s">
        <v>260</v>
      </c>
      <c r="I226" s="7" t="s">
        <v>272</v>
      </c>
      <c r="J226" s="7">
        <v>7452</v>
      </c>
    </row>
    <row r="227" spans="1:10" x14ac:dyDescent="0.25">
      <c r="A227" s="7">
        <v>192</v>
      </c>
      <c r="B227" s="20">
        <v>45299</v>
      </c>
      <c r="C227" s="7" t="s">
        <v>321</v>
      </c>
      <c r="D227" s="7" t="s">
        <v>291</v>
      </c>
      <c r="E227" s="7" t="s">
        <v>78</v>
      </c>
      <c r="F227" s="7">
        <v>1</v>
      </c>
      <c r="G227" s="7">
        <v>1624</v>
      </c>
      <c r="H227" s="7" t="s">
        <v>271</v>
      </c>
      <c r="I227" s="7" t="s">
        <v>265</v>
      </c>
      <c r="J227" s="7">
        <v>7520</v>
      </c>
    </row>
    <row r="228" spans="1:10" x14ac:dyDescent="0.25">
      <c r="A228" s="7">
        <v>268</v>
      </c>
      <c r="B228" s="20">
        <v>45375</v>
      </c>
      <c r="C228" s="7" t="s">
        <v>302</v>
      </c>
      <c r="D228" s="7" t="s">
        <v>274</v>
      </c>
      <c r="E228" s="7" t="s">
        <v>78</v>
      </c>
      <c r="F228" s="7">
        <v>1</v>
      </c>
      <c r="G228" s="7">
        <v>1621</v>
      </c>
      <c r="H228" s="7" t="s">
        <v>260</v>
      </c>
      <c r="I228" s="7" t="s">
        <v>261</v>
      </c>
      <c r="J228" s="7">
        <v>7540</v>
      </c>
    </row>
    <row r="229" spans="1:10" x14ac:dyDescent="0.25">
      <c r="A229" s="7">
        <v>291</v>
      </c>
      <c r="B229" s="20">
        <v>45398</v>
      </c>
      <c r="C229" s="7" t="s">
        <v>325</v>
      </c>
      <c r="D229" s="7" t="s">
        <v>299</v>
      </c>
      <c r="E229" s="7" t="s">
        <v>78</v>
      </c>
      <c r="F229" s="7">
        <v>7</v>
      </c>
      <c r="G229" s="7">
        <v>230</v>
      </c>
      <c r="H229" s="7" t="s">
        <v>284</v>
      </c>
      <c r="I229" s="7" t="s">
        <v>269</v>
      </c>
      <c r="J229" s="7">
        <v>7545</v>
      </c>
    </row>
    <row r="230" spans="1:10" x14ac:dyDescent="0.25">
      <c r="A230" s="7">
        <v>236</v>
      </c>
      <c r="B230" s="20">
        <v>45343</v>
      </c>
      <c r="C230" s="7" t="s">
        <v>287</v>
      </c>
      <c r="D230" s="7" t="s">
        <v>291</v>
      </c>
      <c r="E230" s="7" t="s">
        <v>259</v>
      </c>
      <c r="F230" s="7">
        <v>1</v>
      </c>
      <c r="G230" s="7">
        <v>1608</v>
      </c>
      <c r="H230" s="7" t="s">
        <v>284</v>
      </c>
      <c r="I230" s="7" t="s">
        <v>269</v>
      </c>
      <c r="J230" s="7">
        <v>7560</v>
      </c>
    </row>
    <row r="231" spans="1:10" x14ac:dyDescent="0.25">
      <c r="A231" s="7">
        <v>144</v>
      </c>
      <c r="B231" s="20">
        <v>45251</v>
      </c>
      <c r="C231" s="7" t="s">
        <v>257</v>
      </c>
      <c r="D231" s="7" t="s">
        <v>320</v>
      </c>
      <c r="E231" s="7" t="s">
        <v>78</v>
      </c>
      <c r="F231" s="7">
        <v>7</v>
      </c>
      <c r="G231" s="7">
        <v>229</v>
      </c>
      <c r="H231" s="7" t="s">
        <v>275</v>
      </c>
      <c r="I231" s="7" t="s">
        <v>261</v>
      </c>
      <c r="J231" s="7">
        <v>7574</v>
      </c>
    </row>
    <row r="232" spans="1:10" x14ac:dyDescent="0.25">
      <c r="A232" s="7">
        <v>195</v>
      </c>
      <c r="B232" s="20">
        <v>45302</v>
      </c>
      <c r="C232" s="7" t="s">
        <v>311</v>
      </c>
      <c r="D232" s="7" t="s">
        <v>282</v>
      </c>
      <c r="E232" s="7" t="s">
        <v>78</v>
      </c>
      <c r="F232" s="7">
        <v>4</v>
      </c>
      <c r="G232" s="7">
        <v>395</v>
      </c>
      <c r="H232" s="7" t="s">
        <v>284</v>
      </c>
      <c r="I232" s="7" t="s">
        <v>285</v>
      </c>
      <c r="J232" s="7">
        <v>7608</v>
      </c>
    </row>
    <row r="233" spans="1:10" x14ac:dyDescent="0.25">
      <c r="A233" s="7">
        <v>14</v>
      </c>
      <c r="B233" s="20">
        <v>45121</v>
      </c>
      <c r="C233" s="7" t="s">
        <v>289</v>
      </c>
      <c r="D233" s="7" t="s">
        <v>277</v>
      </c>
      <c r="E233" s="7" t="s">
        <v>78</v>
      </c>
      <c r="F233" s="7">
        <v>1</v>
      </c>
      <c r="G233" s="7">
        <v>1541</v>
      </c>
      <c r="H233" s="7" t="s">
        <v>284</v>
      </c>
      <c r="I233" s="7" t="s">
        <v>261</v>
      </c>
      <c r="J233" s="7">
        <v>7704</v>
      </c>
    </row>
    <row r="234" spans="1:10" x14ac:dyDescent="0.25">
      <c r="A234" s="7">
        <v>136</v>
      </c>
      <c r="B234" s="20">
        <v>45243</v>
      </c>
      <c r="C234" s="7" t="s">
        <v>309</v>
      </c>
      <c r="D234" s="7" t="s">
        <v>294</v>
      </c>
      <c r="E234" s="7" t="s">
        <v>75</v>
      </c>
      <c r="F234" s="7">
        <v>1</v>
      </c>
      <c r="G234" s="7">
        <v>1524</v>
      </c>
      <c r="H234" s="7" t="s">
        <v>275</v>
      </c>
      <c r="I234" s="7" t="s">
        <v>269</v>
      </c>
      <c r="J234" s="7">
        <v>7740</v>
      </c>
    </row>
    <row r="235" spans="1:10" x14ac:dyDescent="0.25">
      <c r="A235" s="7">
        <v>45</v>
      </c>
      <c r="B235" s="20">
        <v>45152</v>
      </c>
      <c r="C235" s="7" t="s">
        <v>313</v>
      </c>
      <c r="D235" s="7" t="s">
        <v>291</v>
      </c>
      <c r="E235" s="7" t="s">
        <v>75</v>
      </c>
      <c r="F235" s="7">
        <v>8</v>
      </c>
      <c r="G235" s="7">
        <v>181</v>
      </c>
      <c r="H235" s="7" t="s">
        <v>280</v>
      </c>
      <c r="I235" s="7" t="s">
        <v>265</v>
      </c>
      <c r="J235" s="7">
        <v>7784</v>
      </c>
    </row>
    <row r="236" spans="1:10" x14ac:dyDescent="0.25">
      <c r="A236" s="7">
        <v>58</v>
      </c>
      <c r="B236" s="20">
        <v>45165</v>
      </c>
      <c r="C236" s="7" t="s">
        <v>308</v>
      </c>
      <c r="D236" s="7" t="s">
        <v>299</v>
      </c>
      <c r="E236" s="7" t="s">
        <v>259</v>
      </c>
      <c r="F236" s="7">
        <v>4</v>
      </c>
      <c r="G236" s="7">
        <v>360</v>
      </c>
      <c r="H236" s="7" t="s">
        <v>268</v>
      </c>
      <c r="I236" s="7" t="s">
        <v>285</v>
      </c>
      <c r="J236" s="7">
        <v>7973</v>
      </c>
    </row>
    <row r="237" spans="1:10" x14ac:dyDescent="0.25">
      <c r="A237" s="7">
        <v>237</v>
      </c>
      <c r="B237" s="20">
        <v>45344</v>
      </c>
      <c r="C237" s="7" t="s">
        <v>329</v>
      </c>
      <c r="D237" s="7" t="s">
        <v>274</v>
      </c>
      <c r="E237" s="7" t="s">
        <v>259</v>
      </c>
      <c r="F237" s="7">
        <v>3</v>
      </c>
      <c r="G237" s="7">
        <v>473</v>
      </c>
      <c r="H237" s="7" t="s">
        <v>286</v>
      </c>
      <c r="I237" s="7" t="s">
        <v>265</v>
      </c>
      <c r="J237" s="7">
        <v>8145</v>
      </c>
    </row>
    <row r="238" spans="1:10" x14ac:dyDescent="0.25">
      <c r="A238" s="7">
        <v>213</v>
      </c>
      <c r="B238" s="20">
        <v>45320</v>
      </c>
      <c r="C238" s="7" t="s">
        <v>309</v>
      </c>
      <c r="D238" s="7" t="s">
        <v>267</v>
      </c>
      <c r="E238" s="7" t="s">
        <v>75</v>
      </c>
      <c r="F238" s="7">
        <v>7</v>
      </c>
      <c r="G238" s="7">
        <v>201</v>
      </c>
      <c r="H238" s="7" t="s">
        <v>296</v>
      </c>
      <c r="I238" s="7" t="s">
        <v>285</v>
      </c>
      <c r="J238" s="7">
        <v>8226</v>
      </c>
    </row>
    <row r="239" spans="1:10" x14ac:dyDescent="0.25">
      <c r="A239" s="7">
        <v>282</v>
      </c>
      <c r="B239" s="20">
        <v>45389</v>
      </c>
      <c r="C239" s="7" t="s">
        <v>325</v>
      </c>
      <c r="D239" s="7" t="s">
        <v>294</v>
      </c>
      <c r="E239" s="7" t="s">
        <v>259</v>
      </c>
      <c r="F239" s="7">
        <v>1</v>
      </c>
      <c r="G239" s="7">
        <v>1396</v>
      </c>
      <c r="H239" s="7" t="s">
        <v>264</v>
      </c>
      <c r="I239" s="7" t="s">
        <v>272</v>
      </c>
      <c r="J239" s="7">
        <v>8280</v>
      </c>
    </row>
    <row r="240" spans="1:10" x14ac:dyDescent="0.25">
      <c r="A240" s="7">
        <v>298</v>
      </c>
      <c r="B240" s="20">
        <v>45405</v>
      </c>
      <c r="C240" s="7" t="s">
        <v>283</v>
      </c>
      <c r="D240" s="7" t="s">
        <v>294</v>
      </c>
      <c r="E240" s="7" t="s">
        <v>78</v>
      </c>
      <c r="F240" s="7">
        <v>3</v>
      </c>
      <c r="G240" s="7">
        <v>463</v>
      </c>
      <c r="H240" s="7" t="s">
        <v>278</v>
      </c>
      <c r="I240" s="7" t="s">
        <v>272</v>
      </c>
      <c r="J240" s="7">
        <v>8514</v>
      </c>
    </row>
    <row r="241" spans="1:10" x14ac:dyDescent="0.25">
      <c r="A241" s="7">
        <v>206</v>
      </c>
      <c r="B241" s="20">
        <v>45313</v>
      </c>
      <c r="C241" s="7" t="s">
        <v>303</v>
      </c>
      <c r="D241" s="7" t="s">
        <v>282</v>
      </c>
      <c r="E241" s="7" t="s">
        <v>259</v>
      </c>
      <c r="F241" s="7">
        <v>6</v>
      </c>
      <c r="G241" s="7">
        <v>230</v>
      </c>
      <c r="H241" s="7" t="s">
        <v>278</v>
      </c>
      <c r="I241" s="7" t="s">
        <v>265</v>
      </c>
      <c r="J241" s="7">
        <v>8547</v>
      </c>
    </row>
    <row r="242" spans="1:10" x14ac:dyDescent="0.25">
      <c r="A242" s="7">
        <v>61</v>
      </c>
      <c r="B242" s="20">
        <v>45168</v>
      </c>
      <c r="C242" s="7" t="s">
        <v>319</v>
      </c>
      <c r="D242" s="7" t="s">
        <v>282</v>
      </c>
      <c r="E242" s="7" t="s">
        <v>78</v>
      </c>
      <c r="F242" s="7">
        <v>1</v>
      </c>
      <c r="G242" s="7">
        <v>1379</v>
      </c>
      <c r="H242" s="7" t="s">
        <v>286</v>
      </c>
      <c r="I242" s="7" t="s">
        <v>272</v>
      </c>
      <c r="J242" s="7">
        <v>8610</v>
      </c>
    </row>
    <row r="243" spans="1:10" x14ac:dyDescent="0.25">
      <c r="A243" s="7">
        <v>193</v>
      </c>
      <c r="B243" s="20">
        <v>45300</v>
      </c>
      <c r="C243" s="7" t="s">
        <v>273</v>
      </c>
      <c r="D243" s="7" t="s">
        <v>258</v>
      </c>
      <c r="E243" s="7" t="s">
        <v>78</v>
      </c>
      <c r="F243" s="7">
        <v>8</v>
      </c>
      <c r="G243" s="7">
        <v>172</v>
      </c>
      <c r="H243" s="7" t="s">
        <v>286</v>
      </c>
      <c r="I243" s="7" t="s">
        <v>285</v>
      </c>
      <c r="J243" s="7">
        <v>8652</v>
      </c>
    </row>
    <row r="244" spans="1:10" x14ac:dyDescent="0.25">
      <c r="A244" s="7">
        <v>79</v>
      </c>
      <c r="B244" s="20">
        <v>45186</v>
      </c>
      <c r="C244" s="7" t="s">
        <v>325</v>
      </c>
      <c r="D244" s="7" t="s">
        <v>277</v>
      </c>
      <c r="E244" s="7" t="s">
        <v>75</v>
      </c>
      <c r="F244" s="7">
        <v>6</v>
      </c>
      <c r="G244" s="7">
        <v>227</v>
      </c>
      <c r="H244" s="7" t="s">
        <v>268</v>
      </c>
      <c r="I244" s="7" t="s">
        <v>285</v>
      </c>
      <c r="J244" s="7">
        <v>8685</v>
      </c>
    </row>
    <row r="245" spans="1:10" x14ac:dyDescent="0.25">
      <c r="A245" s="7">
        <v>93</v>
      </c>
      <c r="B245" s="20">
        <v>45200</v>
      </c>
      <c r="C245" s="7" t="s">
        <v>326</v>
      </c>
      <c r="D245" s="7" t="s">
        <v>258</v>
      </c>
      <c r="E245" s="7" t="s">
        <v>75</v>
      </c>
      <c r="F245" s="7">
        <v>1</v>
      </c>
      <c r="G245" s="7">
        <v>1358</v>
      </c>
      <c r="H245" s="7" t="s">
        <v>275</v>
      </c>
      <c r="I245" s="7" t="s">
        <v>285</v>
      </c>
      <c r="J245" s="7">
        <v>8760</v>
      </c>
    </row>
    <row r="246" spans="1:10" x14ac:dyDescent="0.25">
      <c r="A246" s="7">
        <v>210</v>
      </c>
      <c r="B246" s="20">
        <v>45317</v>
      </c>
      <c r="C246" s="7" t="s">
        <v>293</v>
      </c>
      <c r="D246" s="7" t="s">
        <v>299</v>
      </c>
      <c r="E246" s="7" t="s">
        <v>75</v>
      </c>
      <c r="F246" s="7">
        <v>5</v>
      </c>
      <c r="G246" s="7">
        <v>271</v>
      </c>
      <c r="H246" s="7" t="s">
        <v>264</v>
      </c>
      <c r="I246" s="7" t="s">
        <v>265</v>
      </c>
      <c r="J246" s="7">
        <v>8916</v>
      </c>
    </row>
    <row r="247" spans="1:10" x14ac:dyDescent="0.25">
      <c r="A247" s="7">
        <v>208</v>
      </c>
      <c r="B247" s="20">
        <v>45315</v>
      </c>
      <c r="C247" s="7" t="s">
        <v>301</v>
      </c>
      <c r="D247" s="7" t="s">
        <v>282</v>
      </c>
      <c r="E247" s="7" t="s">
        <v>259</v>
      </c>
      <c r="F247" s="7">
        <v>1</v>
      </c>
      <c r="G247" s="7">
        <v>1352</v>
      </c>
      <c r="H247" s="7" t="s">
        <v>271</v>
      </c>
      <c r="I247" s="7" t="s">
        <v>272</v>
      </c>
      <c r="J247" s="7">
        <v>8922</v>
      </c>
    </row>
    <row r="248" spans="1:10" x14ac:dyDescent="0.25">
      <c r="A248" s="7">
        <v>173</v>
      </c>
      <c r="B248" s="20">
        <v>45280</v>
      </c>
      <c r="C248" s="7" t="s">
        <v>326</v>
      </c>
      <c r="D248" s="7" t="s">
        <v>299</v>
      </c>
      <c r="E248" s="7" t="s">
        <v>78</v>
      </c>
      <c r="F248" s="7">
        <v>8</v>
      </c>
      <c r="G248" s="7">
        <v>168</v>
      </c>
      <c r="H248" s="7" t="s">
        <v>268</v>
      </c>
      <c r="I248" s="7" t="s">
        <v>265</v>
      </c>
      <c r="J248" s="7">
        <v>8925</v>
      </c>
    </row>
    <row r="249" spans="1:10" x14ac:dyDescent="0.25">
      <c r="A249" s="7">
        <v>83</v>
      </c>
      <c r="B249" s="20">
        <v>45190</v>
      </c>
      <c r="C249" s="7" t="s">
        <v>281</v>
      </c>
      <c r="D249" s="7" t="s">
        <v>299</v>
      </c>
      <c r="E249" s="7" t="s">
        <v>259</v>
      </c>
      <c r="F249" s="7">
        <v>1</v>
      </c>
      <c r="G249" s="7">
        <v>1332</v>
      </c>
      <c r="H249" s="7" t="s">
        <v>286</v>
      </c>
      <c r="I249" s="7" t="s">
        <v>272</v>
      </c>
      <c r="J249" s="7">
        <v>8974</v>
      </c>
    </row>
    <row r="250" spans="1:10" x14ac:dyDescent="0.25">
      <c r="A250" s="7">
        <v>3</v>
      </c>
      <c r="B250" s="20">
        <v>45110</v>
      </c>
      <c r="C250" s="7" t="s">
        <v>266</v>
      </c>
      <c r="D250" s="7" t="s">
        <v>267</v>
      </c>
      <c r="E250" s="7" t="s">
        <v>75</v>
      </c>
      <c r="F250" s="7">
        <v>3</v>
      </c>
      <c r="G250" s="7">
        <v>427</v>
      </c>
      <c r="H250" s="7" t="s">
        <v>268</v>
      </c>
      <c r="I250" s="7" t="s">
        <v>269</v>
      </c>
      <c r="J250" s="7">
        <v>8976</v>
      </c>
    </row>
    <row r="251" spans="1:10" x14ac:dyDescent="0.25">
      <c r="A251" s="7">
        <v>75</v>
      </c>
      <c r="B251" s="20">
        <v>45182</v>
      </c>
      <c r="C251" s="7" t="s">
        <v>323</v>
      </c>
      <c r="D251" s="7" t="s">
        <v>320</v>
      </c>
      <c r="E251" s="7" t="s">
        <v>78</v>
      </c>
      <c r="F251" s="7">
        <v>1</v>
      </c>
      <c r="G251" s="7">
        <v>1281</v>
      </c>
      <c r="H251" s="7" t="s">
        <v>284</v>
      </c>
      <c r="I251" s="7" t="s">
        <v>261</v>
      </c>
      <c r="J251" s="7">
        <v>8980</v>
      </c>
    </row>
    <row r="252" spans="1:10" x14ac:dyDescent="0.25">
      <c r="A252" s="7">
        <v>199</v>
      </c>
      <c r="B252" s="20">
        <v>45306</v>
      </c>
      <c r="C252" s="7" t="s">
        <v>295</v>
      </c>
      <c r="D252" s="7" t="s">
        <v>274</v>
      </c>
      <c r="E252" s="7" t="s">
        <v>259</v>
      </c>
      <c r="F252" s="7">
        <v>8</v>
      </c>
      <c r="G252" s="7">
        <v>160</v>
      </c>
      <c r="H252" s="7" t="s">
        <v>268</v>
      </c>
      <c r="I252" s="7" t="s">
        <v>285</v>
      </c>
      <c r="J252" s="7">
        <v>9058</v>
      </c>
    </row>
    <row r="253" spans="1:10" x14ac:dyDescent="0.25">
      <c r="A253" s="7">
        <v>85</v>
      </c>
      <c r="B253" s="20">
        <v>45192</v>
      </c>
      <c r="C253" s="7" t="s">
        <v>276</v>
      </c>
      <c r="D253" s="7" t="s">
        <v>274</v>
      </c>
      <c r="E253" s="7" t="s">
        <v>75</v>
      </c>
      <c r="F253" s="7">
        <v>2</v>
      </c>
      <c r="G253" s="7">
        <v>620</v>
      </c>
      <c r="H253" s="7" t="s">
        <v>278</v>
      </c>
      <c r="I253" s="7" t="s">
        <v>269</v>
      </c>
      <c r="J253" s="7">
        <v>9081</v>
      </c>
    </row>
    <row r="254" spans="1:10" x14ac:dyDescent="0.25">
      <c r="A254" s="7">
        <v>38</v>
      </c>
      <c r="B254" s="20">
        <v>45145</v>
      </c>
      <c r="C254" s="7" t="s">
        <v>290</v>
      </c>
      <c r="D254" s="7" t="s">
        <v>291</v>
      </c>
      <c r="E254" s="7" t="s">
        <v>75</v>
      </c>
      <c r="F254" s="7">
        <v>5</v>
      </c>
      <c r="G254" s="7">
        <v>246</v>
      </c>
      <c r="H254" s="7" t="s">
        <v>264</v>
      </c>
      <c r="I254" s="7" t="s">
        <v>272</v>
      </c>
      <c r="J254" s="7">
        <v>9296</v>
      </c>
    </row>
    <row r="255" spans="1:10" x14ac:dyDescent="0.25">
      <c r="A255" s="7">
        <v>37</v>
      </c>
      <c r="B255" s="20">
        <v>45144</v>
      </c>
      <c r="C255" s="7" t="s">
        <v>295</v>
      </c>
      <c r="D255" s="7" t="s">
        <v>294</v>
      </c>
      <c r="E255" s="7" t="s">
        <v>259</v>
      </c>
      <c r="F255" s="7">
        <v>1</v>
      </c>
      <c r="G255" s="7">
        <v>1208</v>
      </c>
      <c r="H255" s="7" t="s">
        <v>275</v>
      </c>
      <c r="I255" s="7" t="s">
        <v>272</v>
      </c>
      <c r="J255" s="7">
        <v>9396</v>
      </c>
    </row>
    <row r="256" spans="1:10" x14ac:dyDescent="0.25">
      <c r="A256" s="7">
        <v>123</v>
      </c>
      <c r="B256" s="20">
        <v>45230</v>
      </c>
      <c r="C256" s="7" t="s">
        <v>300</v>
      </c>
      <c r="D256" s="7" t="s">
        <v>274</v>
      </c>
      <c r="E256" s="7" t="s">
        <v>75</v>
      </c>
      <c r="F256" s="7">
        <v>9</v>
      </c>
      <c r="G256" s="7">
        <v>126</v>
      </c>
      <c r="H256" s="7" t="s">
        <v>280</v>
      </c>
      <c r="I256" s="7" t="s">
        <v>285</v>
      </c>
      <c r="J256" s="7">
        <v>9534</v>
      </c>
    </row>
    <row r="257" spans="1:10" x14ac:dyDescent="0.25">
      <c r="A257" s="7">
        <v>299</v>
      </c>
      <c r="B257" s="20">
        <v>45406</v>
      </c>
      <c r="C257" s="7" t="s">
        <v>303</v>
      </c>
      <c r="D257" s="7" t="s">
        <v>294</v>
      </c>
      <c r="E257" s="7" t="s">
        <v>259</v>
      </c>
      <c r="F257" s="7">
        <v>8</v>
      </c>
      <c r="G257" s="7">
        <v>138</v>
      </c>
      <c r="H257" s="7" t="s">
        <v>280</v>
      </c>
      <c r="I257" s="7" t="s">
        <v>261</v>
      </c>
      <c r="J257" s="7">
        <v>9606</v>
      </c>
    </row>
    <row r="258" spans="1:10" x14ac:dyDescent="0.25">
      <c r="A258" s="7">
        <v>23</v>
      </c>
      <c r="B258" s="20">
        <v>45130</v>
      </c>
      <c r="C258" s="7" t="s">
        <v>293</v>
      </c>
      <c r="D258" s="7" t="s">
        <v>299</v>
      </c>
      <c r="E258" s="7" t="s">
        <v>75</v>
      </c>
      <c r="F258" s="7">
        <v>2</v>
      </c>
      <c r="G258" s="7">
        <v>551</v>
      </c>
      <c r="H258" s="7" t="s">
        <v>275</v>
      </c>
      <c r="I258" s="7" t="s">
        <v>261</v>
      </c>
      <c r="J258" s="7">
        <v>9690</v>
      </c>
    </row>
    <row r="259" spans="1:10" x14ac:dyDescent="0.25">
      <c r="A259" s="7">
        <v>130</v>
      </c>
      <c r="B259" s="20">
        <v>45237</v>
      </c>
      <c r="C259" s="7" t="s">
        <v>289</v>
      </c>
      <c r="D259" s="7" t="s">
        <v>291</v>
      </c>
      <c r="E259" s="7" t="s">
        <v>75</v>
      </c>
      <c r="F259" s="7">
        <v>3</v>
      </c>
      <c r="G259" s="7">
        <v>367</v>
      </c>
      <c r="H259" s="7" t="s">
        <v>271</v>
      </c>
      <c r="I259" s="7" t="s">
        <v>261</v>
      </c>
      <c r="J259" s="7">
        <v>9780</v>
      </c>
    </row>
    <row r="260" spans="1:10" x14ac:dyDescent="0.25">
      <c r="A260" s="7">
        <v>277</v>
      </c>
      <c r="B260" s="20">
        <v>45384</v>
      </c>
      <c r="C260" s="7" t="s">
        <v>316</v>
      </c>
      <c r="D260" s="7" t="s">
        <v>294</v>
      </c>
      <c r="E260" s="7" t="s">
        <v>75</v>
      </c>
      <c r="F260" s="7">
        <v>1</v>
      </c>
      <c r="G260" s="7">
        <v>1094</v>
      </c>
      <c r="H260" s="7" t="s">
        <v>268</v>
      </c>
      <c r="I260" s="7" t="s">
        <v>269</v>
      </c>
      <c r="J260" s="7">
        <v>9828</v>
      </c>
    </row>
    <row r="261" spans="1:10" x14ac:dyDescent="0.25">
      <c r="A261" s="7">
        <v>295</v>
      </c>
      <c r="B261" s="20">
        <v>45402</v>
      </c>
      <c r="C261" s="7" t="s">
        <v>287</v>
      </c>
      <c r="D261" s="7" t="s">
        <v>282</v>
      </c>
      <c r="E261" s="7" t="s">
        <v>259</v>
      </c>
      <c r="F261" s="7">
        <v>1</v>
      </c>
      <c r="G261" s="7">
        <v>1085</v>
      </c>
      <c r="H261" s="7" t="s">
        <v>280</v>
      </c>
      <c r="I261" s="7" t="s">
        <v>272</v>
      </c>
      <c r="J261" s="7">
        <v>9856</v>
      </c>
    </row>
    <row r="262" spans="1:10" x14ac:dyDescent="0.25">
      <c r="A262" s="7">
        <v>1</v>
      </c>
      <c r="B262" s="20">
        <v>45108</v>
      </c>
      <c r="C262" s="7" t="s">
        <v>257</v>
      </c>
      <c r="D262" s="7" t="s">
        <v>258</v>
      </c>
      <c r="E262" s="7" t="s">
        <v>259</v>
      </c>
      <c r="F262" s="7">
        <v>2</v>
      </c>
      <c r="G262" s="7">
        <v>542</v>
      </c>
      <c r="H262" s="7" t="s">
        <v>260</v>
      </c>
      <c r="I262" s="7" t="s">
        <v>261</v>
      </c>
      <c r="J262" s="7">
        <v>9966</v>
      </c>
    </row>
    <row r="263" spans="1:10" x14ac:dyDescent="0.25">
      <c r="A263" s="7">
        <v>256</v>
      </c>
      <c r="B263" s="20">
        <v>45363</v>
      </c>
      <c r="C263" s="7" t="s">
        <v>317</v>
      </c>
      <c r="D263" s="7" t="s">
        <v>274</v>
      </c>
      <c r="E263" s="7" t="s">
        <v>78</v>
      </c>
      <c r="F263" s="7">
        <v>1</v>
      </c>
      <c r="G263" s="7">
        <v>1080</v>
      </c>
      <c r="H263" s="7" t="s">
        <v>260</v>
      </c>
      <c r="I263" s="7" t="s">
        <v>285</v>
      </c>
      <c r="J263" s="7">
        <v>10026</v>
      </c>
    </row>
    <row r="264" spans="1:10" x14ac:dyDescent="0.25">
      <c r="A264" s="7">
        <v>112</v>
      </c>
      <c r="B264" s="20">
        <v>45219</v>
      </c>
      <c r="C264" s="7" t="s">
        <v>300</v>
      </c>
      <c r="D264" s="7" t="s">
        <v>263</v>
      </c>
      <c r="E264" s="7" t="s">
        <v>259</v>
      </c>
      <c r="F264" s="7">
        <v>8</v>
      </c>
      <c r="G264" s="7">
        <v>133</v>
      </c>
      <c r="H264" s="7" t="s">
        <v>260</v>
      </c>
      <c r="I264" s="7" t="s">
        <v>272</v>
      </c>
      <c r="J264" s="7">
        <v>10260</v>
      </c>
    </row>
    <row r="265" spans="1:10" x14ac:dyDescent="0.25">
      <c r="A265" s="7">
        <v>200</v>
      </c>
      <c r="B265" s="20">
        <v>45307</v>
      </c>
      <c r="C265" s="7" t="s">
        <v>287</v>
      </c>
      <c r="D265" s="7" t="s">
        <v>294</v>
      </c>
      <c r="E265" s="7" t="s">
        <v>78</v>
      </c>
      <c r="F265" s="7">
        <v>1</v>
      </c>
      <c r="G265" s="7">
        <v>1038</v>
      </c>
      <c r="H265" s="7" t="s">
        <v>264</v>
      </c>
      <c r="I265" s="7" t="s">
        <v>265</v>
      </c>
      <c r="J265" s="7">
        <v>10482</v>
      </c>
    </row>
    <row r="266" spans="1:10" x14ac:dyDescent="0.25">
      <c r="A266" s="7">
        <v>209</v>
      </c>
      <c r="B266" s="20">
        <v>45316</v>
      </c>
      <c r="C266" s="7" t="s">
        <v>257</v>
      </c>
      <c r="D266" s="7" t="s">
        <v>274</v>
      </c>
      <c r="E266" s="7" t="s">
        <v>75</v>
      </c>
      <c r="F266" s="7">
        <v>5</v>
      </c>
      <c r="G266" s="7">
        <v>207</v>
      </c>
      <c r="H266" s="7" t="s">
        <v>286</v>
      </c>
      <c r="I266" s="7" t="s">
        <v>272</v>
      </c>
      <c r="J266" s="7">
        <v>10566</v>
      </c>
    </row>
    <row r="267" spans="1:10" x14ac:dyDescent="0.25">
      <c r="A267" s="7">
        <v>111</v>
      </c>
      <c r="B267" s="20">
        <v>45218</v>
      </c>
      <c r="C267" s="7" t="s">
        <v>318</v>
      </c>
      <c r="D267" s="7" t="s">
        <v>320</v>
      </c>
      <c r="E267" s="7" t="s">
        <v>78</v>
      </c>
      <c r="F267" s="7">
        <v>1</v>
      </c>
      <c r="G267" s="7">
        <v>1033</v>
      </c>
      <c r="H267" s="7" t="s">
        <v>271</v>
      </c>
      <c r="I267" s="7" t="s">
        <v>269</v>
      </c>
      <c r="J267" s="7">
        <v>10584</v>
      </c>
    </row>
    <row r="268" spans="1:10" x14ac:dyDescent="0.25">
      <c r="A268" s="7">
        <v>98</v>
      </c>
      <c r="B268" s="20">
        <v>45205</v>
      </c>
      <c r="C268" s="7" t="s">
        <v>328</v>
      </c>
      <c r="D268" s="7" t="s">
        <v>282</v>
      </c>
      <c r="E268" s="7" t="s">
        <v>259</v>
      </c>
      <c r="F268" s="7">
        <v>8</v>
      </c>
      <c r="G268" s="7">
        <v>128</v>
      </c>
      <c r="H268" s="7" t="s">
        <v>260</v>
      </c>
      <c r="I268" s="7" t="s">
        <v>272</v>
      </c>
      <c r="J268" s="7">
        <v>10592</v>
      </c>
    </row>
    <row r="269" spans="1:10" x14ac:dyDescent="0.25">
      <c r="A269" s="7">
        <v>137</v>
      </c>
      <c r="B269" s="20">
        <v>45244</v>
      </c>
      <c r="C269" s="7" t="s">
        <v>308</v>
      </c>
      <c r="D269" s="7" t="s">
        <v>320</v>
      </c>
      <c r="E269" s="7" t="s">
        <v>78</v>
      </c>
      <c r="F269" s="7">
        <v>1</v>
      </c>
      <c r="G269" s="7">
        <v>1021</v>
      </c>
      <c r="H269" s="7" t="s">
        <v>296</v>
      </c>
      <c r="I269" s="7" t="s">
        <v>272</v>
      </c>
      <c r="J269" s="7">
        <v>11232</v>
      </c>
    </row>
    <row r="270" spans="1:10" x14ac:dyDescent="0.25">
      <c r="A270" s="7">
        <v>134</v>
      </c>
      <c r="B270" s="20">
        <v>45241</v>
      </c>
      <c r="C270" s="7" t="s">
        <v>328</v>
      </c>
      <c r="D270" s="7" t="s">
        <v>299</v>
      </c>
      <c r="E270" s="7" t="s">
        <v>75</v>
      </c>
      <c r="F270" s="7">
        <v>1</v>
      </c>
      <c r="G270" s="7">
        <v>1005</v>
      </c>
      <c r="H270" s="7" t="s">
        <v>264</v>
      </c>
      <c r="I270" s="7" t="s">
        <v>261</v>
      </c>
      <c r="J270" s="7">
        <v>11320</v>
      </c>
    </row>
    <row r="271" spans="1:10" x14ac:dyDescent="0.25">
      <c r="A271" s="7">
        <v>278</v>
      </c>
      <c r="B271" s="20">
        <v>45385</v>
      </c>
      <c r="C271" s="7" t="s">
        <v>325</v>
      </c>
      <c r="D271" s="7" t="s">
        <v>320</v>
      </c>
      <c r="E271" s="7" t="s">
        <v>259</v>
      </c>
      <c r="F271" s="7">
        <v>2</v>
      </c>
      <c r="G271" s="7">
        <v>501</v>
      </c>
      <c r="H271" s="7" t="s">
        <v>264</v>
      </c>
      <c r="I271" s="7" t="s">
        <v>269</v>
      </c>
      <c r="J271" s="7">
        <v>11340</v>
      </c>
    </row>
    <row r="272" spans="1:10" x14ac:dyDescent="0.25">
      <c r="A272" s="7">
        <v>227</v>
      </c>
      <c r="B272" s="20">
        <v>45334</v>
      </c>
      <c r="C272" s="7" t="s">
        <v>295</v>
      </c>
      <c r="D272" s="7" t="s">
        <v>277</v>
      </c>
      <c r="E272" s="7" t="s">
        <v>259</v>
      </c>
      <c r="F272" s="7">
        <v>9</v>
      </c>
      <c r="G272" s="7">
        <v>111</v>
      </c>
      <c r="H272" s="7" t="s">
        <v>260</v>
      </c>
      <c r="I272" s="7" t="s">
        <v>272</v>
      </c>
      <c r="J272" s="7">
        <v>11347</v>
      </c>
    </row>
    <row r="273" spans="1:10" x14ac:dyDescent="0.25">
      <c r="A273" s="7">
        <v>56</v>
      </c>
      <c r="B273" s="20">
        <v>45163</v>
      </c>
      <c r="C273" s="7" t="s">
        <v>295</v>
      </c>
      <c r="D273" s="7" t="s">
        <v>258</v>
      </c>
      <c r="E273" s="7" t="s">
        <v>75</v>
      </c>
      <c r="F273" s="7">
        <v>2</v>
      </c>
      <c r="G273" s="7">
        <v>495</v>
      </c>
      <c r="H273" s="7" t="s">
        <v>268</v>
      </c>
      <c r="I273" s="7" t="s">
        <v>265</v>
      </c>
      <c r="J273" s="7">
        <v>11480</v>
      </c>
    </row>
    <row r="274" spans="1:10" x14ac:dyDescent="0.25">
      <c r="A274" s="7">
        <v>158</v>
      </c>
      <c r="B274" s="20">
        <v>45265</v>
      </c>
      <c r="C274" s="7" t="s">
        <v>309</v>
      </c>
      <c r="D274" s="7" t="s">
        <v>274</v>
      </c>
      <c r="E274" s="7" t="s">
        <v>75</v>
      </c>
      <c r="F274" s="7">
        <v>9</v>
      </c>
      <c r="G274" s="7">
        <v>110</v>
      </c>
      <c r="H274" s="7" t="s">
        <v>264</v>
      </c>
      <c r="I274" s="7" t="s">
        <v>272</v>
      </c>
      <c r="J274" s="7">
        <v>11484</v>
      </c>
    </row>
    <row r="275" spans="1:10" x14ac:dyDescent="0.25">
      <c r="A275" s="7">
        <v>275</v>
      </c>
      <c r="B275" s="20">
        <v>45382</v>
      </c>
      <c r="C275" s="7" t="s">
        <v>310</v>
      </c>
      <c r="D275" s="7" t="s">
        <v>277</v>
      </c>
      <c r="E275" s="7" t="s">
        <v>78</v>
      </c>
      <c r="F275" s="7">
        <v>2</v>
      </c>
      <c r="G275" s="7">
        <v>471</v>
      </c>
      <c r="H275" s="7" t="s">
        <v>271</v>
      </c>
      <c r="I275" s="7" t="s">
        <v>285</v>
      </c>
      <c r="J275" s="7">
        <v>11550</v>
      </c>
    </row>
    <row r="276" spans="1:10" x14ac:dyDescent="0.25">
      <c r="A276" s="7">
        <v>95</v>
      </c>
      <c r="B276" s="20">
        <v>45202</v>
      </c>
      <c r="C276" s="7" t="s">
        <v>262</v>
      </c>
      <c r="D276" s="7" t="s">
        <v>267</v>
      </c>
      <c r="E276" s="7" t="s">
        <v>78</v>
      </c>
      <c r="F276" s="7">
        <v>9</v>
      </c>
      <c r="G276" s="7">
        <v>103</v>
      </c>
      <c r="H276" s="7" t="s">
        <v>296</v>
      </c>
      <c r="I276" s="7" t="s">
        <v>285</v>
      </c>
      <c r="J276" s="7">
        <v>11620</v>
      </c>
    </row>
    <row r="277" spans="1:10" x14ac:dyDescent="0.25">
      <c r="A277" s="7">
        <v>168</v>
      </c>
      <c r="B277" s="20">
        <v>45275</v>
      </c>
      <c r="C277" s="7" t="s">
        <v>310</v>
      </c>
      <c r="D277" s="7" t="s">
        <v>294</v>
      </c>
      <c r="E277" s="7" t="s">
        <v>259</v>
      </c>
      <c r="F277" s="7">
        <v>6</v>
      </c>
      <c r="G277" s="7">
        <v>154</v>
      </c>
      <c r="H277" s="7" t="s">
        <v>278</v>
      </c>
      <c r="I277" s="7" t="s">
        <v>272</v>
      </c>
      <c r="J277" s="7">
        <v>11670</v>
      </c>
    </row>
    <row r="278" spans="1:10" x14ac:dyDescent="0.25">
      <c r="A278" s="7">
        <v>132</v>
      </c>
      <c r="B278" s="20">
        <v>45239</v>
      </c>
      <c r="C278" s="7" t="s">
        <v>304</v>
      </c>
      <c r="D278" s="7" t="s">
        <v>274</v>
      </c>
      <c r="E278" s="7" t="s">
        <v>78</v>
      </c>
      <c r="F278" s="7">
        <v>1</v>
      </c>
      <c r="G278" s="7">
        <v>920</v>
      </c>
      <c r="H278" s="7" t="s">
        <v>286</v>
      </c>
      <c r="I278" s="7" t="s">
        <v>265</v>
      </c>
      <c r="J278" s="7">
        <v>11907</v>
      </c>
    </row>
    <row r="279" spans="1:10" x14ac:dyDescent="0.25">
      <c r="A279" s="7">
        <v>102</v>
      </c>
      <c r="B279" s="20">
        <v>45209</v>
      </c>
      <c r="C279" s="7" t="s">
        <v>287</v>
      </c>
      <c r="D279" s="7" t="s">
        <v>274</v>
      </c>
      <c r="E279" s="7" t="s">
        <v>78</v>
      </c>
      <c r="F279" s="7">
        <v>1</v>
      </c>
      <c r="G279" s="7">
        <v>904</v>
      </c>
      <c r="H279" s="7" t="s">
        <v>275</v>
      </c>
      <c r="I279" s="7" t="s">
        <v>265</v>
      </c>
      <c r="J279" s="7">
        <v>12089</v>
      </c>
    </row>
    <row r="280" spans="1:10" x14ac:dyDescent="0.25">
      <c r="A280" s="7">
        <v>153</v>
      </c>
      <c r="B280" s="20">
        <v>45260</v>
      </c>
      <c r="C280" s="7" t="s">
        <v>257</v>
      </c>
      <c r="D280" s="7" t="s">
        <v>294</v>
      </c>
      <c r="E280" s="7" t="s">
        <v>259</v>
      </c>
      <c r="F280" s="7">
        <v>1</v>
      </c>
      <c r="G280" s="7">
        <v>893</v>
      </c>
      <c r="H280" s="7" t="s">
        <v>278</v>
      </c>
      <c r="I280" s="7" t="s">
        <v>261</v>
      </c>
      <c r="J280" s="7">
        <v>12152</v>
      </c>
    </row>
    <row r="281" spans="1:10" x14ac:dyDescent="0.25">
      <c r="A281" s="7">
        <v>251</v>
      </c>
      <c r="B281" s="20">
        <v>45358</v>
      </c>
      <c r="C281" s="7" t="s">
        <v>288</v>
      </c>
      <c r="D281" s="7" t="s">
        <v>291</v>
      </c>
      <c r="E281" s="7" t="s">
        <v>78</v>
      </c>
      <c r="F281" s="7">
        <v>1</v>
      </c>
      <c r="G281" s="7">
        <v>877</v>
      </c>
      <c r="H281" s="7" t="s">
        <v>271</v>
      </c>
      <c r="I281" s="7" t="s">
        <v>269</v>
      </c>
      <c r="J281" s="7">
        <v>12483</v>
      </c>
    </row>
    <row r="282" spans="1:10" x14ac:dyDescent="0.25">
      <c r="A282" s="7">
        <v>103</v>
      </c>
      <c r="B282" s="20">
        <v>45210</v>
      </c>
      <c r="C282" s="7" t="s">
        <v>328</v>
      </c>
      <c r="D282" s="7" t="s">
        <v>277</v>
      </c>
      <c r="E282" s="7" t="s">
        <v>78</v>
      </c>
      <c r="F282" s="7">
        <v>5</v>
      </c>
      <c r="G282" s="7">
        <v>174</v>
      </c>
      <c r="H282" s="7" t="s">
        <v>278</v>
      </c>
      <c r="I282" s="7" t="s">
        <v>261</v>
      </c>
      <c r="J282" s="7">
        <v>12699</v>
      </c>
    </row>
    <row r="283" spans="1:10" x14ac:dyDescent="0.25">
      <c r="A283" s="7">
        <v>202</v>
      </c>
      <c r="B283" s="20">
        <v>45309</v>
      </c>
      <c r="C283" s="7" t="s">
        <v>331</v>
      </c>
      <c r="D283" s="7" t="s">
        <v>291</v>
      </c>
      <c r="E283" s="7" t="s">
        <v>78</v>
      </c>
      <c r="F283" s="7">
        <v>6</v>
      </c>
      <c r="G283" s="7">
        <v>141</v>
      </c>
      <c r="H283" s="7" t="s">
        <v>275</v>
      </c>
      <c r="I283" s="7" t="s">
        <v>269</v>
      </c>
      <c r="J283" s="7">
        <v>12984</v>
      </c>
    </row>
    <row r="284" spans="1:10" x14ac:dyDescent="0.25">
      <c r="A284" s="7">
        <v>253</v>
      </c>
      <c r="B284" s="20">
        <v>45360</v>
      </c>
      <c r="C284" s="7" t="s">
        <v>316</v>
      </c>
      <c r="D284" s="7" t="s">
        <v>258</v>
      </c>
      <c r="E284" s="7" t="s">
        <v>75</v>
      </c>
      <c r="F284" s="7">
        <v>1</v>
      </c>
      <c r="G284" s="7">
        <v>810</v>
      </c>
      <c r="H284" s="7" t="s">
        <v>296</v>
      </c>
      <c r="I284" s="7" t="s">
        <v>285</v>
      </c>
      <c r="J284" s="7">
        <v>13192</v>
      </c>
    </row>
    <row r="285" spans="1:10" x14ac:dyDescent="0.25">
      <c r="A285" s="7">
        <v>96</v>
      </c>
      <c r="B285" s="20">
        <v>45203</v>
      </c>
      <c r="C285" s="7" t="s">
        <v>266</v>
      </c>
      <c r="D285" s="7" t="s">
        <v>274</v>
      </c>
      <c r="E285" s="7" t="s">
        <v>259</v>
      </c>
      <c r="F285" s="7">
        <v>1</v>
      </c>
      <c r="G285" s="7">
        <v>765</v>
      </c>
      <c r="H285" s="7" t="s">
        <v>278</v>
      </c>
      <c r="I285" s="7" t="s">
        <v>272</v>
      </c>
      <c r="J285" s="7">
        <v>13448</v>
      </c>
    </row>
    <row r="286" spans="1:10" x14ac:dyDescent="0.25">
      <c r="A286" s="7">
        <v>272</v>
      </c>
      <c r="B286" s="20">
        <v>45379</v>
      </c>
      <c r="C286" s="7" t="s">
        <v>297</v>
      </c>
      <c r="D286" s="7" t="s">
        <v>258</v>
      </c>
      <c r="E286" s="7" t="s">
        <v>259</v>
      </c>
      <c r="F286" s="7">
        <v>1</v>
      </c>
      <c r="G286" s="7">
        <v>693</v>
      </c>
      <c r="H286" s="7" t="s">
        <v>275</v>
      </c>
      <c r="I286" s="7" t="s">
        <v>261</v>
      </c>
      <c r="J286" s="7">
        <v>14112</v>
      </c>
    </row>
    <row r="287" spans="1:10" x14ac:dyDescent="0.25">
      <c r="A287" s="7">
        <v>215</v>
      </c>
      <c r="B287" s="20">
        <v>45322</v>
      </c>
      <c r="C287" s="7" t="s">
        <v>319</v>
      </c>
      <c r="D287" s="7" t="s">
        <v>320</v>
      </c>
      <c r="E287" s="7" t="s">
        <v>75</v>
      </c>
      <c r="F287" s="7">
        <v>1</v>
      </c>
      <c r="G287" s="7">
        <v>623</v>
      </c>
      <c r="H287" s="7" t="s">
        <v>271</v>
      </c>
      <c r="I287" s="7" t="s">
        <v>265</v>
      </c>
      <c r="J287" s="7">
        <v>14157</v>
      </c>
    </row>
    <row r="288" spans="1:10" x14ac:dyDescent="0.25">
      <c r="A288" s="7">
        <v>247</v>
      </c>
      <c r="B288" s="20">
        <v>45354</v>
      </c>
      <c r="C288" s="7" t="s">
        <v>307</v>
      </c>
      <c r="D288" s="7" t="s">
        <v>299</v>
      </c>
      <c r="E288" s="7" t="s">
        <v>78</v>
      </c>
      <c r="F288" s="7">
        <v>1</v>
      </c>
      <c r="G288" s="7">
        <v>588</v>
      </c>
      <c r="H288" s="7" t="s">
        <v>268</v>
      </c>
      <c r="I288" s="7" t="s">
        <v>265</v>
      </c>
      <c r="J288" s="7">
        <v>14224</v>
      </c>
    </row>
    <row r="289" spans="1:10" x14ac:dyDescent="0.25">
      <c r="A289" s="7">
        <v>288</v>
      </c>
      <c r="B289" s="20">
        <v>45395</v>
      </c>
      <c r="C289" s="7" t="s">
        <v>327</v>
      </c>
      <c r="D289" s="7" t="s">
        <v>320</v>
      </c>
      <c r="E289" s="7" t="s">
        <v>78</v>
      </c>
      <c r="F289" s="7">
        <v>2</v>
      </c>
      <c r="G289" s="7">
        <v>287</v>
      </c>
      <c r="H289" s="7" t="s">
        <v>268</v>
      </c>
      <c r="I289" s="7" t="s">
        <v>261</v>
      </c>
      <c r="J289" s="7">
        <v>14400</v>
      </c>
    </row>
    <row r="290" spans="1:10" x14ac:dyDescent="0.25">
      <c r="A290" s="7">
        <v>154</v>
      </c>
      <c r="B290" s="20">
        <v>45261</v>
      </c>
      <c r="C290" s="7" t="s">
        <v>303</v>
      </c>
      <c r="D290" s="7" t="s">
        <v>263</v>
      </c>
      <c r="E290" s="7" t="s">
        <v>75</v>
      </c>
      <c r="F290" s="7">
        <v>4</v>
      </c>
      <c r="G290" s="7">
        <v>128</v>
      </c>
      <c r="H290" s="7" t="s">
        <v>284</v>
      </c>
      <c r="I290" s="7" t="s">
        <v>285</v>
      </c>
      <c r="J290" s="7">
        <v>14580</v>
      </c>
    </row>
    <row r="291" spans="1:10" x14ac:dyDescent="0.25">
      <c r="A291" s="7">
        <v>190</v>
      </c>
      <c r="B291" s="20">
        <v>45297</v>
      </c>
      <c r="C291" s="7" t="s">
        <v>290</v>
      </c>
      <c r="D291" s="7" t="s">
        <v>299</v>
      </c>
      <c r="E291" s="7" t="s">
        <v>78</v>
      </c>
      <c r="F291" s="7">
        <v>2</v>
      </c>
      <c r="G291" s="7">
        <v>253</v>
      </c>
      <c r="H291" s="7" t="s">
        <v>284</v>
      </c>
      <c r="I291" s="7" t="s">
        <v>272</v>
      </c>
      <c r="J291" s="7">
        <v>14856</v>
      </c>
    </row>
    <row r="292" spans="1:10" x14ac:dyDescent="0.25">
      <c r="A292" s="7">
        <v>261</v>
      </c>
      <c r="B292" s="20">
        <v>45368</v>
      </c>
      <c r="C292" s="7" t="s">
        <v>289</v>
      </c>
      <c r="D292" s="7" t="s">
        <v>277</v>
      </c>
      <c r="E292" s="7" t="s">
        <v>75</v>
      </c>
      <c r="F292" s="7">
        <v>1</v>
      </c>
      <c r="G292" s="7">
        <v>434</v>
      </c>
      <c r="H292" s="7" t="s">
        <v>278</v>
      </c>
      <c r="I292" s="7" t="s">
        <v>285</v>
      </c>
      <c r="J292" s="7">
        <v>15228</v>
      </c>
    </row>
    <row r="293" spans="1:10" x14ac:dyDescent="0.25">
      <c r="A293" s="7">
        <v>110</v>
      </c>
      <c r="B293" s="20">
        <v>45217</v>
      </c>
      <c r="C293" s="7" t="s">
        <v>318</v>
      </c>
      <c r="D293" s="7" t="s">
        <v>258</v>
      </c>
      <c r="E293" s="7" t="s">
        <v>75</v>
      </c>
      <c r="F293" s="7">
        <v>3</v>
      </c>
      <c r="G293" s="7">
        <v>140</v>
      </c>
      <c r="H293" s="7" t="s">
        <v>260</v>
      </c>
      <c r="I293" s="7" t="s">
        <v>285</v>
      </c>
      <c r="J293" s="7">
        <v>15240</v>
      </c>
    </row>
    <row r="294" spans="1:10" x14ac:dyDescent="0.25">
      <c r="A294" s="7">
        <v>203</v>
      </c>
      <c r="B294" s="20">
        <v>45310</v>
      </c>
      <c r="C294" s="7" t="s">
        <v>331</v>
      </c>
      <c r="D294" s="7" t="s">
        <v>291</v>
      </c>
      <c r="E294" s="7" t="s">
        <v>75</v>
      </c>
      <c r="F294" s="7">
        <v>3</v>
      </c>
      <c r="G294" s="7">
        <v>124</v>
      </c>
      <c r="H294" s="7" t="s">
        <v>284</v>
      </c>
      <c r="I294" s="7" t="s">
        <v>265</v>
      </c>
      <c r="J294" s="7">
        <v>15651</v>
      </c>
    </row>
    <row r="295" spans="1:10" x14ac:dyDescent="0.25">
      <c r="A295" s="7">
        <v>249</v>
      </c>
      <c r="B295" s="20">
        <v>45356</v>
      </c>
      <c r="C295" s="7" t="s">
        <v>290</v>
      </c>
      <c r="D295" s="7" t="s">
        <v>274</v>
      </c>
      <c r="E295" s="7" t="s">
        <v>78</v>
      </c>
      <c r="F295" s="7">
        <v>2</v>
      </c>
      <c r="G295" s="7">
        <v>146</v>
      </c>
      <c r="H295" s="7" t="s">
        <v>271</v>
      </c>
      <c r="I295" s="7" t="s">
        <v>265</v>
      </c>
      <c r="J295" s="7">
        <v>15776</v>
      </c>
    </row>
    <row r="296" spans="1:10" x14ac:dyDescent="0.25">
      <c r="A296" s="7">
        <v>162</v>
      </c>
      <c r="B296" s="20">
        <v>45269</v>
      </c>
      <c r="C296" s="7" t="s">
        <v>266</v>
      </c>
      <c r="D296" s="7" t="s">
        <v>294</v>
      </c>
      <c r="E296" s="7" t="s">
        <v>78</v>
      </c>
      <c r="F296" s="7">
        <v>1</v>
      </c>
      <c r="G296" s="7">
        <v>286</v>
      </c>
      <c r="H296" s="7" t="s">
        <v>286</v>
      </c>
      <c r="I296" s="7" t="s">
        <v>265</v>
      </c>
      <c r="J296" s="7">
        <v>15920</v>
      </c>
    </row>
    <row r="297" spans="1:10" x14ac:dyDescent="0.25">
      <c r="A297" s="7">
        <v>108</v>
      </c>
      <c r="B297" s="20">
        <v>45215</v>
      </c>
      <c r="C297" s="7" t="s">
        <v>319</v>
      </c>
      <c r="D297" s="7" t="s">
        <v>263</v>
      </c>
      <c r="E297" s="7" t="s">
        <v>75</v>
      </c>
      <c r="F297" s="7">
        <v>2</v>
      </c>
      <c r="G297" s="7">
        <v>141</v>
      </c>
      <c r="H297" s="7" t="s">
        <v>296</v>
      </c>
      <c r="I297" s="7" t="s">
        <v>265</v>
      </c>
      <c r="J297" s="7">
        <v>16272</v>
      </c>
    </row>
    <row r="298" spans="1:10" x14ac:dyDescent="0.25">
      <c r="A298" s="7">
        <v>26</v>
      </c>
      <c r="B298" s="20">
        <v>45133</v>
      </c>
      <c r="C298" s="7" t="s">
        <v>301</v>
      </c>
      <c r="D298" s="7" t="s">
        <v>291</v>
      </c>
      <c r="E298" s="7" t="s">
        <v>78</v>
      </c>
      <c r="F298" s="7">
        <v>1</v>
      </c>
      <c r="G298" s="7">
        <v>281</v>
      </c>
      <c r="H298" s="7" t="s">
        <v>284</v>
      </c>
      <c r="I298" s="7" t="s">
        <v>285</v>
      </c>
      <c r="J298" s="7">
        <v>17253</v>
      </c>
    </row>
    <row r="299" spans="1:10" x14ac:dyDescent="0.25">
      <c r="A299" s="7">
        <v>32</v>
      </c>
      <c r="B299" s="20">
        <v>45139</v>
      </c>
      <c r="C299" s="7" t="s">
        <v>305</v>
      </c>
      <c r="D299" s="7" t="s">
        <v>263</v>
      </c>
      <c r="E299" s="7" t="s">
        <v>75</v>
      </c>
      <c r="F299" s="7">
        <v>2</v>
      </c>
      <c r="G299" s="7">
        <v>106</v>
      </c>
      <c r="H299" s="7" t="s">
        <v>260</v>
      </c>
      <c r="I299" s="7" t="s">
        <v>269</v>
      </c>
      <c r="J299" s="7">
        <v>17334</v>
      </c>
    </row>
    <row r="300" spans="1:10" x14ac:dyDescent="0.25">
      <c r="A300" s="7">
        <v>167</v>
      </c>
      <c r="B300" s="20">
        <v>45274</v>
      </c>
      <c r="C300" s="7" t="s">
        <v>331</v>
      </c>
      <c r="D300" s="7" t="s">
        <v>320</v>
      </c>
      <c r="E300" s="7" t="s">
        <v>259</v>
      </c>
      <c r="F300" s="7">
        <v>1</v>
      </c>
      <c r="G300" s="7">
        <v>197</v>
      </c>
      <c r="H300" s="7" t="s">
        <v>275</v>
      </c>
      <c r="I300" s="7" t="s">
        <v>261</v>
      </c>
      <c r="J300" s="7">
        <v>17532</v>
      </c>
    </row>
    <row r="301" spans="1:10" x14ac:dyDescent="0.25">
      <c r="A301" s="7">
        <v>77</v>
      </c>
      <c r="B301" s="20">
        <v>45184</v>
      </c>
      <c r="C301" s="7" t="s">
        <v>314</v>
      </c>
      <c r="D301" s="7" t="s">
        <v>267</v>
      </c>
      <c r="E301" s="7" t="s">
        <v>78</v>
      </c>
      <c r="F301" s="7">
        <v>1</v>
      </c>
      <c r="G301" s="7">
        <v>158</v>
      </c>
      <c r="H301" s="7" t="s">
        <v>275</v>
      </c>
      <c r="I301" s="7" t="s">
        <v>285</v>
      </c>
      <c r="J301" s="7">
        <v>17784</v>
      </c>
    </row>
  </sheetData>
  <sortState xmlns:xlrd2="http://schemas.microsoft.com/office/spreadsheetml/2017/richdata2" ref="J2:J301">
    <sortCondition ref="J2:J301"/>
  </sortState>
  <dataValidations count="1">
    <dataValidation type="list" allowBlank="1" showInputMessage="1" showErrorMessage="1" sqref="M9" xr:uid="{C46433DC-C7E5-458E-9C7F-3B99AF9EF1AF}">
      <formula1>$H$2:$H$301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YOR_A_MENOR">
                <anchor moveWithCells="1" sizeWithCells="1">
                  <from>
                    <xdr:col>13</xdr:col>
                    <xdr:colOff>133350</xdr:colOff>
                    <xdr:row>0</xdr:row>
                    <xdr:rowOff>66675</xdr:rowOff>
                  </from>
                  <to>
                    <xdr:col>14</xdr:col>
                    <xdr:colOff>1266825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ENOR_A_MAYOR">
                <anchor moveWithCells="1" sizeWithCells="1">
                  <from>
                    <xdr:col>13</xdr:col>
                    <xdr:colOff>152400</xdr:colOff>
                    <xdr:row>2</xdr:row>
                    <xdr:rowOff>19050</xdr:rowOff>
                  </from>
                  <to>
                    <xdr:col>14</xdr:col>
                    <xdr:colOff>1257300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FILTRO_AVANZADO">
                <anchor moveWithCells="1" sizeWithCells="1">
                  <from>
                    <xdr:col>13</xdr:col>
                    <xdr:colOff>981075</xdr:colOff>
                    <xdr:row>7</xdr:row>
                    <xdr:rowOff>9525</xdr:rowOff>
                  </from>
                  <to>
                    <xdr:col>16</xdr:col>
                    <xdr:colOff>19050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6" name="Button 23">
              <controlPr defaultSize="0" print="0" autoFill="0" autoPict="0" macro="[0]!TABLA_DINAMICA">
                <anchor moveWithCells="1" sizeWithCells="1">
                  <from>
                    <xdr:col>17</xdr:col>
                    <xdr:colOff>552450</xdr:colOff>
                    <xdr:row>0</xdr:row>
                    <xdr:rowOff>76200</xdr:rowOff>
                  </from>
                  <to>
                    <xdr:col>21</xdr:col>
                    <xdr:colOff>390525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" name="Button 24">
              <controlPr defaultSize="0" print="0" autoFill="0" autoPict="0" macro="[0]!ELIMINAR_TABLA_DIANMICA">
                <anchor moveWithCells="1" sizeWithCells="1">
                  <from>
                    <xdr:col>17</xdr:col>
                    <xdr:colOff>552450</xdr:colOff>
                    <xdr:row>2</xdr:row>
                    <xdr:rowOff>0</xdr:rowOff>
                  </from>
                  <to>
                    <xdr:col>21</xdr:col>
                    <xdr:colOff>381000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D4D21-E421-45B4-8098-5905D231208B}">
  <sheetPr>
    <tabColor theme="9" tint="0.39997558519241921"/>
  </sheetPr>
  <dimension ref="A1"/>
  <sheetViews>
    <sheetView workbookViewId="0">
      <selection activeCell="D17" sqref="D17"/>
    </sheetView>
  </sheetViews>
  <sheetFormatPr baseColWidth="10" defaultRowHeight="15" x14ac:dyDescent="0.25"/>
  <cols>
    <col min="1" max="1" width="17.85546875" bestFit="1" customWidth="1"/>
    <col min="2" max="2" width="19.2851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83CA1-DE08-4DAD-897A-313604BF64CC}">
  <sheetPr>
    <tabColor rgb="FFFFC000"/>
  </sheetPr>
  <dimension ref="A1:L23"/>
  <sheetViews>
    <sheetView topLeftCell="A3" zoomScaleNormal="100" workbookViewId="0">
      <selection activeCell="G22" sqref="G22"/>
    </sheetView>
  </sheetViews>
  <sheetFormatPr baseColWidth="10" defaultRowHeight="15" x14ac:dyDescent="0.25"/>
  <cols>
    <col min="1" max="1" width="3.42578125" bestFit="1" customWidth="1"/>
    <col min="2" max="2" width="30.28515625" bestFit="1" customWidth="1"/>
    <col min="3" max="3" width="9.140625" bestFit="1" customWidth="1"/>
    <col min="4" max="4" width="19.85546875" bestFit="1" customWidth="1"/>
    <col min="5" max="5" width="13.85546875" bestFit="1" customWidth="1"/>
    <col min="7" max="7" width="31" bestFit="1" customWidth="1"/>
    <col min="8" max="8" width="15.42578125" bestFit="1" customWidth="1"/>
    <col min="9" max="9" width="16.5703125" bestFit="1" customWidth="1"/>
  </cols>
  <sheetData>
    <row r="1" spans="1:12" ht="63" customHeight="1" x14ac:dyDescent="0.25">
      <c r="A1" s="21" t="s">
        <v>219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2" ht="15.95" customHeight="1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 x14ac:dyDescent="0.25">
      <c r="A3" s="22" t="s">
        <v>220</v>
      </c>
      <c r="B3" s="22" t="s">
        <v>221</v>
      </c>
      <c r="C3" s="22" t="s">
        <v>112</v>
      </c>
      <c r="D3" s="22" t="s">
        <v>222</v>
      </c>
      <c r="E3" s="22" t="s">
        <v>114</v>
      </c>
      <c r="G3" s="23" t="s">
        <v>240</v>
      </c>
      <c r="H3" s="24"/>
      <c r="I3" s="25"/>
    </row>
    <row r="4" spans="1:12" x14ac:dyDescent="0.25">
      <c r="A4" s="7">
        <v>1</v>
      </c>
      <c r="B4" s="7" t="s">
        <v>225</v>
      </c>
      <c r="C4" s="7">
        <v>41</v>
      </c>
      <c r="D4" s="8">
        <v>28000</v>
      </c>
      <c r="E4" s="9">
        <f>C4*D4</f>
        <v>1148000</v>
      </c>
      <c r="G4" s="7" t="s">
        <v>241</v>
      </c>
      <c r="H4" s="7" t="s">
        <v>242</v>
      </c>
      <c r="I4" s="7" t="s">
        <v>243</v>
      </c>
    </row>
    <row r="5" spans="1:12" x14ac:dyDescent="0.25">
      <c r="A5" s="7">
        <v>2</v>
      </c>
      <c r="B5" s="7" t="s">
        <v>226</v>
      </c>
      <c r="C5" s="7">
        <v>40</v>
      </c>
      <c r="D5" s="8">
        <v>15000</v>
      </c>
      <c r="E5" s="9">
        <f t="shared" ref="E5:E18" si="0">C5*D5</f>
        <v>600000</v>
      </c>
      <c r="G5" s="7" t="s">
        <v>225</v>
      </c>
      <c r="H5" s="7">
        <v>10</v>
      </c>
      <c r="I5" s="7">
        <v>50</v>
      </c>
    </row>
    <row r="6" spans="1:12" x14ac:dyDescent="0.25">
      <c r="A6" s="7">
        <v>3</v>
      </c>
      <c r="B6" s="7" t="s">
        <v>227</v>
      </c>
      <c r="C6" s="7">
        <v>19</v>
      </c>
      <c r="D6" s="8">
        <v>25000</v>
      </c>
      <c r="E6" s="9">
        <f t="shared" si="0"/>
        <v>475000</v>
      </c>
      <c r="G6" s="7" t="s">
        <v>226</v>
      </c>
      <c r="H6" s="7">
        <v>15</v>
      </c>
      <c r="I6" s="7">
        <v>60</v>
      </c>
    </row>
    <row r="7" spans="1:12" x14ac:dyDescent="0.25">
      <c r="A7" s="7">
        <v>4</v>
      </c>
      <c r="B7" s="7" t="s">
        <v>228</v>
      </c>
      <c r="C7" s="7">
        <v>21</v>
      </c>
      <c r="D7" s="8">
        <v>10000</v>
      </c>
      <c r="E7" s="9">
        <f t="shared" si="0"/>
        <v>210000</v>
      </c>
      <c r="G7" s="7" t="s">
        <v>227</v>
      </c>
      <c r="H7" s="7">
        <v>5</v>
      </c>
      <c r="I7" s="7">
        <v>30</v>
      </c>
    </row>
    <row r="8" spans="1:12" x14ac:dyDescent="0.25">
      <c r="A8" s="7">
        <v>5</v>
      </c>
      <c r="B8" s="7" t="s">
        <v>229</v>
      </c>
      <c r="C8" s="7">
        <v>24</v>
      </c>
      <c r="D8" s="8">
        <v>27000</v>
      </c>
      <c r="E8" s="9">
        <f t="shared" si="0"/>
        <v>648000</v>
      </c>
      <c r="G8" s="7" t="s">
        <v>228</v>
      </c>
      <c r="H8" s="7">
        <v>10</v>
      </c>
      <c r="I8" s="7">
        <v>40</v>
      </c>
    </row>
    <row r="9" spans="1:12" x14ac:dyDescent="0.25">
      <c r="A9" s="7">
        <v>6</v>
      </c>
      <c r="B9" s="7" t="s">
        <v>230</v>
      </c>
      <c r="C9" s="7">
        <v>50</v>
      </c>
      <c r="D9" s="8">
        <v>8500</v>
      </c>
      <c r="E9" s="9">
        <f t="shared" si="0"/>
        <v>425000</v>
      </c>
      <c r="G9" s="7" t="s">
        <v>229</v>
      </c>
      <c r="H9" s="7">
        <v>10</v>
      </c>
      <c r="I9" s="7">
        <v>35</v>
      </c>
    </row>
    <row r="10" spans="1:12" x14ac:dyDescent="0.25">
      <c r="A10" s="7">
        <v>7</v>
      </c>
      <c r="B10" s="7" t="s">
        <v>231</v>
      </c>
      <c r="C10" s="7">
        <v>10</v>
      </c>
      <c r="D10" s="8">
        <v>50000</v>
      </c>
      <c r="E10" s="9">
        <f t="shared" si="0"/>
        <v>500000</v>
      </c>
      <c r="G10" s="7" t="s">
        <v>230</v>
      </c>
      <c r="H10" s="7">
        <v>20</v>
      </c>
      <c r="I10" s="7">
        <v>80</v>
      </c>
    </row>
    <row r="11" spans="1:12" x14ac:dyDescent="0.25">
      <c r="A11" s="7">
        <v>8</v>
      </c>
      <c r="B11" s="7" t="s">
        <v>232</v>
      </c>
      <c r="C11" s="7">
        <v>11</v>
      </c>
      <c r="D11" s="8">
        <v>20000</v>
      </c>
      <c r="E11" s="9">
        <f t="shared" si="0"/>
        <v>220000</v>
      </c>
      <c r="G11" s="7" t="s">
        <v>231</v>
      </c>
      <c r="H11" s="7">
        <v>5</v>
      </c>
      <c r="I11" s="7">
        <v>15</v>
      </c>
    </row>
    <row r="12" spans="1:12" x14ac:dyDescent="0.25">
      <c r="A12" s="7">
        <v>9</v>
      </c>
      <c r="B12" s="7" t="s">
        <v>233</v>
      </c>
      <c r="C12" s="7">
        <v>47</v>
      </c>
      <c r="D12" s="8">
        <v>12000</v>
      </c>
      <c r="E12" s="9">
        <f t="shared" si="0"/>
        <v>564000</v>
      </c>
      <c r="G12" s="7" t="s">
        <v>232</v>
      </c>
      <c r="H12" s="7">
        <v>5</v>
      </c>
      <c r="I12" s="7">
        <v>20</v>
      </c>
    </row>
    <row r="13" spans="1:12" x14ac:dyDescent="0.25">
      <c r="A13" s="7">
        <v>10</v>
      </c>
      <c r="B13" s="7" t="s">
        <v>234</v>
      </c>
      <c r="C13" s="7">
        <v>25</v>
      </c>
      <c r="D13" s="8">
        <v>95000</v>
      </c>
      <c r="E13" s="9">
        <f t="shared" si="0"/>
        <v>2375000</v>
      </c>
      <c r="G13" s="7" t="s">
        <v>233</v>
      </c>
      <c r="H13" s="7">
        <v>20</v>
      </c>
      <c r="I13" s="7">
        <v>70</v>
      </c>
    </row>
    <row r="14" spans="1:12" x14ac:dyDescent="0.25">
      <c r="A14" s="7">
        <v>11</v>
      </c>
      <c r="B14" s="7" t="s">
        <v>235</v>
      </c>
      <c r="C14" s="7">
        <v>8</v>
      </c>
      <c r="D14" s="8">
        <v>65000</v>
      </c>
      <c r="E14" s="9">
        <f t="shared" si="0"/>
        <v>520000</v>
      </c>
      <c r="G14" s="7" t="s">
        <v>234</v>
      </c>
      <c r="H14" s="7">
        <v>5</v>
      </c>
      <c r="I14" s="7">
        <v>25</v>
      </c>
    </row>
    <row r="15" spans="1:12" x14ac:dyDescent="0.25">
      <c r="A15" s="7">
        <v>12</v>
      </c>
      <c r="B15" s="7" t="s">
        <v>236</v>
      </c>
      <c r="C15" s="7">
        <v>6</v>
      </c>
      <c r="D15" s="8">
        <v>48000</v>
      </c>
      <c r="E15" s="9">
        <f t="shared" si="0"/>
        <v>288000</v>
      </c>
      <c r="G15" s="7" t="s">
        <v>235</v>
      </c>
      <c r="H15" s="7">
        <v>5</v>
      </c>
      <c r="I15" s="7">
        <v>20</v>
      </c>
    </row>
    <row r="16" spans="1:12" x14ac:dyDescent="0.25">
      <c r="A16" s="7">
        <v>13</v>
      </c>
      <c r="B16" s="7" t="s">
        <v>237</v>
      </c>
      <c r="C16" s="7">
        <v>19</v>
      </c>
      <c r="D16" s="8">
        <v>17000</v>
      </c>
      <c r="E16" s="9">
        <f t="shared" si="0"/>
        <v>323000</v>
      </c>
      <c r="G16" s="7" t="s">
        <v>236</v>
      </c>
      <c r="H16" s="7">
        <v>3</v>
      </c>
      <c r="I16" s="7">
        <v>12</v>
      </c>
    </row>
    <row r="17" spans="1:9" x14ac:dyDescent="0.25">
      <c r="A17" s="7">
        <v>14</v>
      </c>
      <c r="B17" s="7" t="s">
        <v>238</v>
      </c>
      <c r="C17" s="7">
        <v>29</v>
      </c>
      <c r="D17" s="8">
        <v>26000</v>
      </c>
      <c r="E17" s="9">
        <f t="shared" si="0"/>
        <v>754000</v>
      </c>
      <c r="G17" s="7" t="s">
        <v>237</v>
      </c>
      <c r="H17" s="7">
        <v>10</v>
      </c>
      <c r="I17" s="7">
        <v>40</v>
      </c>
    </row>
    <row r="18" spans="1:9" x14ac:dyDescent="0.25">
      <c r="A18" s="7">
        <v>15</v>
      </c>
      <c r="B18" s="7" t="s">
        <v>239</v>
      </c>
      <c r="C18" s="7">
        <v>50</v>
      </c>
      <c r="D18" s="8">
        <v>9000</v>
      </c>
      <c r="E18" s="9">
        <f t="shared" si="0"/>
        <v>450000</v>
      </c>
      <c r="G18" s="7" t="s">
        <v>238</v>
      </c>
      <c r="H18" s="7">
        <v>10</v>
      </c>
      <c r="I18" s="7">
        <v>30</v>
      </c>
    </row>
    <row r="19" spans="1:9" x14ac:dyDescent="0.25">
      <c r="D19" s="11"/>
      <c r="G19" s="7" t="s">
        <v>239</v>
      </c>
      <c r="H19" s="7">
        <v>15</v>
      </c>
      <c r="I19" s="7">
        <v>50</v>
      </c>
    </row>
    <row r="20" spans="1:9" x14ac:dyDescent="0.25">
      <c r="D20" s="22" t="s">
        <v>114</v>
      </c>
      <c r="E20" s="12">
        <f>SUM(E4:E18)</f>
        <v>9500000</v>
      </c>
    </row>
    <row r="22" spans="1:9" x14ac:dyDescent="0.25">
      <c r="D22" s="26" t="s">
        <v>223</v>
      </c>
      <c r="E22" s="7" t="s">
        <v>224</v>
      </c>
    </row>
    <row r="23" spans="1:9" x14ac:dyDescent="0.25">
      <c r="D23" s="27"/>
      <c r="E23" s="10">
        <v>9500000</v>
      </c>
    </row>
  </sheetData>
  <mergeCells count="3">
    <mergeCell ref="A1:L1"/>
    <mergeCell ref="D22:D23"/>
    <mergeCell ref="G3:I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40480-CED7-4F43-9A77-9F882C63F140}">
  <sheetPr>
    <tabColor theme="7" tint="0.59999389629810485"/>
  </sheetPr>
  <dimension ref="A2:E5"/>
  <sheetViews>
    <sheetView zoomScale="130" zoomScaleNormal="130" workbookViewId="0">
      <selection activeCell="E13" sqref="E13"/>
    </sheetView>
  </sheetViews>
  <sheetFormatPr baseColWidth="10" defaultRowHeight="15" x14ac:dyDescent="0.25"/>
  <sheetData>
    <row r="2" spans="1:5" x14ac:dyDescent="0.25">
      <c r="A2" s="17" t="s">
        <v>333</v>
      </c>
      <c r="B2" s="18"/>
      <c r="C2" s="18"/>
      <c r="D2" s="18"/>
      <c r="E2" s="18"/>
    </row>
    <row r="3" spans="1:5" x14ac:dyDescent="0.25">
      <c r="A3" s="17" t="s">
        <v>334</v>
      </c>
      <c r="B3" s="18"/>
      <c r="C3" s="18"/>
      <c r="D3" s="18"/>
      <c r="E3" s="18"/>
    </row>
    <row r="4" spans="1:5" x14ac:dyDescent="0.25">
      <c r="A4" s="17" t="s">
        <v>335</v>
      </c>
      <c r="B4" s="18"/>
      <c r="C4" s="18"/>
      <c r="D4" s="18"/>
      <c r="E4" s="18"/>
    </row>
    <row r="5" spans="1:5" x14ac:dyDescent="0.25">
      <c r="A5" s="17" t="s">
        <v>336</v>
      </c>
      <c r="B5" s="18"/>
      <c r="C5" s="18"/>
      <c r="D5" s="18"/>
      <c r="E5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60FC1-59F0-492A-B2DE-34DA443B8603}">
  <sheetPr>
    <tabColor theme="7" tint="0.59999389629810485"/>
  </sheetPr>
  <dimension ref="A1:G21"/>
  <sheetViews>
    <sheetView zoomScaleNormal="100" workbookViewId="0">
      <selection activeCell="G2" sqref="G2"/>
    </sheetView>
  </sheetViews>
  <sheetFormatPr baseColWidth="10" defaultColWidth="11.42578125" defaultRowHeight="15" x14ac:dyDescent="0.25"/>
  <cols>
    <col min="1" max="1" width="11" bestFit="1" customWidth="1"/>
    <col min="2" max="2" width="27" bestFit="1" customWidth="1"/>
    <col min="3" max="3" width="19.5703125" bestFit="1" customWidth="1"/>
    <col min="4" max="4" width="19.28515625" bestFit="1" customWidth="1"/>
    <col min="5" max="5" width="9.140625" bestFit="1" customWidth="1"/>
    <col min="6" max="6" width="19.28515625" bestFit="1" customWidth="1"/>
    <col min="7" max="7" width="15.5703125" bestFit="1" customWidth="1"/>
  </cols>
  <sheetData>
    <row r="1" spans="1:7" ht="16.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ht="16.5" x14ac:dyDescent="0.25">
      <c r="A2" s="4">
        <v>1</v>
      </c>
      <c r="B2" s="4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">
        <v>44941</v>
      </c>
    </row>
    <row r="3" spans="1:7" ht="16.5" x14ac:dyDescent="0.25">
      <c r="A3" s="4">
        <v>2</v>
      </c>
      <c r="B3" s="4" t="s">
        <v>12</v>
      </c>
      <c r="C3" s="4" t="s">
        <v>13</v>
      </c>
      <c r="D3" s="4" t="s">
        <v>14</v>
      </c>
      <c r="E3" s="4" t="s">
        <v>10</v>
      </c>
      <c r="F3" s="4" t="s">
        <v>15</v>
      </c>
      <c r="G3" s="5">
        <v>44977</v>
      </c>
    </row>
    <row r="4" spans="1:7" ht="16.5" x14ac:dyDescent="0.25">
      <c r="A4" s="4">
        <v>3</v>
      </c>
      <c r="B4" s="4" t="s">
        <v>16</v>
      </c>
      <c r="C4" s="4" t="s">
        <v>17</v>
      </c>
      <c r="D4" s="4" t="s">
        <v>18</v>
      </c>
      <c r="E4" s="4" t="s">
        <v>10</v>
      </c>
      <c r="F4" s="4" t="s">
        <v>11</v>
      </c>
      <c r="G4" s="5">
        <v>44995</v>
      </c>
    </row>
    <row r="5" spans="1:7" ht="16.5" x14ac:dyDescent="0.25">
      <c r="A5" s="4">
        <v>4</v>
      </c>
      <c r="B5" s="4" t="s">
        <v>19</v>
      </c>
      <c r="C5" s="4" t="s">
        <v>20</v>
      </c>
      <c r="D5" s="4" t="s">
        <v>20</v>
      </c>
      <c r="E5" s="4" t="s">
        <v>10</v>
      </c>
      <c r="F5" s="4" t="s">
        <v>21</v>
      </c>
      <c r="G5" s="5">
        <v>45021</v>
      </c>
    </row>
    <row r="6" spans="1:7" ht="16.5" x14ac:dyDescent="0.25">
      <c r="A6" s="4">
        <v>5</v>
      </c>
      <c r="B6" s="4" t="s">
        <v>22</v>
      </c>
      <c r="C6" s="4" t="s">
        <v>23</v>
      </c>
      <c r="D6" s="4" t="s">
        <v>24</v>
      </c>
      <c r="E6" s="4" t="s">
        <v>10</v>
      </c>
      <c r="F6" s="4" t="s">
        <v>15</v>
      </c>
      <c r="G6" s="5">
        <v>45058</v>
      </c>
    </row>
    <row r="7" spans="1:7" ht="16.5" x14ac:dyDescent="0.25">
      <c r="A7" s="4">
        <v>6</v>
      </c>
      <c r="B7" s="4" t="s">
        <v>25</v>
      </c>
      <c r="C7" s="4" t="s">
        <v>26</v>
      </c>
      <c r="D7" s="4" t="s">
        <v>26</v>
      </c>
      <c r="E7" s="4" t="s">
        <v>10</v>
      </c>
      <c r="F7" s="4" t="s">
        <v>27</v>
      </c>
      <c r="G7" s="5">
        <v>45095</v>
      </c>
    </row>
    <row r="8" spans="1:7" ht="16.5" x14ac:dyDescent="0.25">
      <c r="A8" s="4">
        <v>7</v>
      </c>
      <c r="B8" s="4" t="s">
        <v>28</v>
      </c>
      <c r="C8" s="4" t="s">
        <v>29</v>
      </c>
      <c r="D8" s="4" t="s">
        <v>30</v>
      </c>
      <c r="E8" s="4" t="s">
        <v>10</v>
      </c>
      <c r="F8" s="4" t="s">
        <v>15</v>
      </c>
      <c r="G8" s="5">
        <v>45129</v>
      </c>
    </row>
    <row r="9" spans="1:7" ht="16.5" x14ac:dyDescent="0.25">
      <c r="A9" s="4">
        <v>8</v>
      </c>
      <c r="B9" s="4" t="s">
        <v>31</v>
      </c>
      <c r="C9" s="4" t="s">
        <v>32</v>
      </c>
      <c r="D9" s="4" t="s">
        <v>33</v>
      </c>
      <c r="E9" s="4" t="s">
        <v>10</v>
      </c>
      <c r="F9" s="4" t="s">
        <v>11</v>
      </c>
      <c r="G9" s="5">
        <v>45168</v>
      </c>
    </row>
    <row r="10" spans="1:7" ht="16.5" x14ac:dyDescent="0.25">
      <c r="A10" s="4">
        <v>9</v>
      </c>
      <c r="B10" s="4" t="s">
        <v>34</v>
      </c>
      <c r="C10" s="4" t="s">
        <v>35</v>
      </c>
      <c r="D10" s="4" t="s">
        <v>35</v>
      </c>
      <c r="E10" s="4" t="s">
        <v>10</v>
      </c>
      <c r="F10" s="4" t="s">
        <v>36</v>
      </c>
      <c r="G10" s="5">
        <v>45183</v>
      </c>
    </row>
    <row r="11" spans="1:7" ht="16.5" x14ac:dyDescent="0.25">
      <c r="A11" s="4">
        <v>10</v>
      </c>
      <c r="B11" s="4" t="s">
        <v>37</v>
      </c>
      <c r="C11" s="4" t="s">
        <v>38</v>
      </c>
      <c r="D11" s="4" t="s">
        <v>38</v>
      </c>
      <c r="E11" s="4" t="s">
        <v>10</v>
      </c>
      <c r="F11" s="4" t="s">
        <v>15</v>
      </c>
      <c r="G11" s="5">
        <v>45204</v>
      </c>
    </row>
    <row r="12" spans="1:7" ht="16.5" x14ac:dyDescent="0.25">
      <c r="A12" s="4">
        <v>11</v>
      </c>
      <c r="B12" s="4" t="s">
        <v>39</v>
      </c>
      <c r="C12" s="4" t="s">
        <v>40</v>
      </c>
      <c r="D12" s="4" t="s">
        <v>41</v>
      </c>
      <c r="E12" s="4" t="s">
        <v>10</v>
      </c>
      <c r="F12" s="4" t="s">
        <v>11</v>
      </c>
      <c r="G12" s="5">
        <v>45241</v>
      </c>
    </row>
    <row r="13" spans="1:7" ht="16.5" x14ac:dyDescent="0.25">
      <c r="A13" s="4">
        <v>12</v>
      </c>
      <c r="B13" s="4" t="s">
        <v>42</v>
      </c>
      <c r="C13" s="4" t="s">
        <v>43</v>
      </c>
      <c r="D13" s="4" t="s">
        <v>43</v>
      </c>
      <c r="E13" s="4" t="s">
        <v>10</v>
      </c>
      <c r="F13" s="4" t="s">
        <v>15</v>
      </c>
      <c r="G13" s="5">
        <v>45263</v>
      </c>
    </row>
    <row r="14" spans="1:7" ht="16.5" x14ac:dyDescent="0.25">
      <c r="A14" s="4">
        <v>13</v>
      </c>
      <c r="B14" s="4" t="s">
        <v>44</v>
      </c>
      <c r="C14" s="4" t="s">
        <v>45</v>
      </c>
      <c r="D14" s="4" t="s">
        <v>46</v>
      </c>
      <c r="E14" s="4" t="s">
        <v>10</v>
      </c>
      <c r="F14" s="4" t="s">
        <v>11</v>
      </c>
      <c r="G14" s="5">
        <v>45299</v>
      </c>
    </row>
    <row r="15" spans="1:7" ht="16.5" x14ac:dyDescent="0.25">
      <c r="A15" s="4">
        <v>14</v>
      </c>
      <c r="B15" s="4" t="s">
        <v>47</v>
      </c>
      <c r="C15" s="4" t="s">
        <v>48</v>
      </c>
      <c r="D15" s="4" t="s">
        <v>48</v>
      </c>
      <c r="E15" s="4" t="s">
        <v>10</v>
      </c>
      <c r="F15" s="4" t="s">
        <v>21</v>
      </c>
      <c r="G15" s="5">
        <v>45316</v>
      </c>
    </row>
    <row r="16" spans="1:7" ht="16.5" x14ac:dyDescent="0.25">
      <c r="A16" s="4">
        <v>15</v>
      </c>
      <c r="B16" s="4" t="s">
        <v>49</v>
      </c>
      <c r="C16" s="4" t="s">
        <v>50</v>
      </c>
      <c r="D16" s="4" t="s">
        <v>51</v>
      </c>
      <c r="E16" s="4" t="s">
        <v>10</v>
      </c>
      <c r="F16" s="4" t="s">
        <v>27</v>
      </c>
      <c r="G16" s="5">
        <v>45336</v>
      </c>
    </row>
    <row r="17" spans="1:7" ht="16.5" x14ac:dyDescent="0.25">
      <c r="A17" s="4">
        <v>16</v>
      </c>
      <c r="B17" s="4" t="s">
        <v>52</v>
      </c>
      <c r="C17" s="4" t="s">
        <v>53</v>
      </c>
      <c r="D17" s="4" t="s">
        <v>54</v>
      </c>
      <c r="E17" s="4" t="s">
        <v>10</v>
      </c>
      <c r="F17" s="4" t="s">
        <v>15</v>
      </c>
      <c r="G17" s="5">
        <v>45350</v>
      </c>
    </row>
    <row r="18" spans="1:7" ht="16.5" x14ac:dyDescent="0.25">
      <c r="A18" s="4">
        <v>17</v>
      </c>
      <c r="B18" s="4" t="s">
        <v>55</v>
      </c>
      <c r="C18" s="4" t="s">
        <v>56</v>
      </c>
      <c r="D18" s="4" t="s">
        <v>57</v>
      </c>
      <c r="E18" s="4" t="s">
        <v>10</v>
      </c>
      <c r="F18" s="4" t="s">
        <v>11</v>
      </c>
      <c r="G18" s="5">
        <v>45361</v>
      </c>
    </row>
    <row r="19" spans="1:7" ht="16.5" x14ac:dyDescent="0.25">
      <c r="A19" s="4">
        <v>18</v>
      </c>
      <c r="B19" s="4" t="s">
        <v>58</v>
      </c>
      <c r="C19" s="4" t="s">
        <v>59</v>
      </c>
      <c r="D19" s="4" t="s">
        <v>60</v>
      </c>
      <c r="E19" s="4" t="s">
        <v>10</v>
      </c>
      <c r="F19" s="4" t="s">
        <v>15</v>
      </c>
      <c r="G19" s="5">
        <v>45373</v>
      </c>
    </row>
    <row r="20" spans="1:7" ht="16.5" x14ac:dyDescent="0.25">
      <c r="A20" s="4">
        <v>19</v>
      </c>
      <c r="B20" s="4" t="s">
        <v>61</v>
      </c>
      <c r="C20" s="4" t="s">
        <v>62</v>
      </c>
      <c r="D20" s="4" t="s">
        <v>63</v>
      </c>
      <c r="E20" s="4" t="s">
        <v>10</v>
      </c>
      <c r="F20" s="4" t="s">
        <v>11</v>
      </c>
      <c r="G20" s="5">
        <v>45387</v>
      </c>
    </row>
    <row r="21" spans="1:7" ht="16.5" x14ac:dyDescent="0.25">
      <c r="A21" s="4">
        <v>20</v>
      </c>
      <c r="B21" s="4" t="s">
        <v>64</v>
      </c>
      <c r="C21" s="4" t="s">
        <v>65</v>
      </c>
      <c r="D21" s="4" t="s">
        <v>66</v>
      </c>
      <c r="E21" s="4" t="s">
        <v>10</v>
      </c>
      <c r="F21" s="4" t="s">
        <v>27</v>
      </c>
      <c r="G21" s="5">
        <v>45400</v>
      </c>
    </row>
  </sheetData>
  <autoFilter ref="A1:G1" xr:uid="{20D60FC1-59F0-492A-B2DE-34DA443B8603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F36B9-135B-4B96-90F4-116A522AB0CD}">
  <sheetPr>
    <tabColor theme="7" tint="0.59999389629810485"/>
  </sheetPr>
  <dimension ref="A1:G21"/>
  <sheetViews>
    <sheetView workbookViewId="0">
      <selection activeCell="E16" sqref="E16:F16"/>
    </sheetView>
  </sheetViews>
  <sheetFormatPr baseColWidth="10" defaultRowHeight="15" x14ac:dyDescent="0.25"/>
  <cols>
    <col min="1" max="1" width="13" bestFit="1" customWidth="1"/>
    <col min="2" max="2" width="27.7109375" bestFit="1" customWidth="1"/>
    <col min="3" max="3" width="13.28515625" bestFit="1" customWidth="1"/>
    <col min="4" max="4" width="18.5703125" bestFit="1" customWidth="1"/>
    <col min="5" max="5" width="8" bestFit="1" customWidth="1"/>
    <col min="6" max="6" width="10.42578125" bestFit="1" customWidth="1"/>
    <col min="7" max="7" width="14.140625" bestFit="1" customWidth="1"/>
  </cols>
  <sheetData>
    <row r="1" spans="1:7" ht="16.5" x14ac:dyDescent="0.25">
      <c r="A1" s="1" t="s">
        <v>67</v>
      </c>
      <c r="B1" s="1" t="s">
        <v>68</v>
      </c>
      <c r="C1" s="1" t="s">
        <v>69</v>
      </c>
      <c r="D1" s="1" t="s">
        <v>70</v>
      </c>
      <c r="E1" s="1" t="s">
        <v>71</v>
      </c>
      <c r="F1" s="1" t="s">
        <v>72</v>
      </c>
      <c r="G1" s="1" t="s">
        <v>73</v>
      </c>
    </row>
    <row r="2" spans="1:7" ht="16.5" x14ac:dyDescent="0.25">
      <c r="A2" s="2">
        <v>101</v>
      </c>
      <c r="B2" s="2" t="s">
        <v>74</v>
      </c>
      <c r="C2" s="2" t="s">
        <v>75</v>
      </c>
      <c r="D2" s="2" t="s">
        <v>76</v>
      </c>
      <c r="E2" s="2">
        <v>12000</v>
      </c>
      <c r="F2" s="2">
        <v>18999</v>
      </c>
      <c r="G2" s="2">
        <v>1</v>
      </c>
    </row>
    <row r="3" spans="1:7" ht="16.5" x14ac:dyDescent="0.25">
      <c r="A3" s="2">
        <v>102</v>
      </c>
      <c r="B3" s="2" t="s">
        <v>77</v>
      </c>
      <c r="C3" s="2" t="s">
        <v>75</v>
      </c>
      <c r="D3" s="2" t="s">
        <v>78</v>
      </c>
      <c r="E3" s="2">
        <v>150</v>
      </c>
      <c r="F3" s="2">
        <v>399</v>
      </c>
      <c r="G3" s="2">
        <v>2</v>
      </c>
    </row>
    <row r="4" spans="1:7" ht="16.5" x14ac:dyDescent="0.25">
      <c r="A4" s="2">
        <v>103</v>
      </c>
      <c r="B4" s="2" t="s">
        <v>79</v>
      </c>
      <c r="C4" s="2" t="s">
        <v>80</v>
      </c>
      <c r="D4" s="2" t="s">
        <v>81</v>
      </c>
      <c r="E4" s="2">
        <v>2500</v>
      </c>
      <c r="F4" s="2">
        <v>4500</v>
      </c>
      <c r="G4" s="2">
        <v>3</v>
      </c>
    </row>
    <row r="5" spans="1:7" ht="16.5" x14ac:dyDescent="0.25">
      <c r="A5" s="2">
        <v>104</v>
      </c>
      <c r="B5" s="2" t="s">
        <v>82</v>
      </c>
      <c r="C5" s="2" t="s">
        <v>75</v>
      </c>
      <c r="D5" s="2" t="s">
        <v>83</v>
      </c>
      <c r="E5" s="2">
        <v>3500</v>
      </c>
      <c r="F5" s="2">
        <v>5999</v>
      </c>
      <c r="G5" s="2">
        <v>1</v>
      </c>
    </row>
    <row r="6" spans="1:7" ht="16.5" x14ac:dyDescent="0.25">
      <c r="A6" s="2">
        <v>105</v>
      </c>
      <c r="B6" s="2" t="s">
        <v>84</v>
      </c>
      <c r="C6" s="2" t="s">
        <v>75</v>
      </c>
      <c r="D6" s="2" t="s">
        <v>78</v>
      </c>
      <c r="E6" s="2">
        <v>400</v>
      </c>
      <c r="F6" s="2">
        <v>899</v>
      </c>
      <c r="G6" s="2">
        <v>2</v>
      </c>
    </row>
    <row r="7" spans="1:7" ht="16.5" x14ac:dyDescent="0.25">
      <c r="A7" s="2">
        <v>106</v>
      </c>
      <c r="B7" s="2" t="s">
        <v>85</v>
      </c>
      <c r="C7" s="2" t="s">
        <v>80</v>
      </c>
      <c r="D7" s="2" t="s">
        <v>81</v>
      </c>
      <c r="E7" s="2">
        <v>4200</v>
      </c>
      <c r="F7" s="2">
        <v>7500</v>
      </c>
      <c r="G7" s="2">
        <v>3</v>
      </c>
    </row>
    <row r="8" spans="1:7" ht="16.5" x14ac:dyDescent="0.25">
      <c r="A8" s="2">
        <v>107</v>
      </c>
      <c r="B8" s="2" t="s">
        <v>86</v>
      </c>
      <c r="C8" s="2" t="s">
        <v>75</v>
      </c>
      <c r="D8" s="2" t="s">
        <v>87</v>
      </c>
      <c r="E8" s="2">
        <v>8500</v>
      </c>
      <c r="F8" s="2">
        <v>12999</v>
      </c>
      <c r="G8" s="2">
        <v>4</v>
      </c>
    </row>
    <row r="9" spans="1:7" ht="16.5" x14ac:dyDescent="0.25">
      <c r="A9" s="2">
        <v>108</v>
      </c>
      <c r="B9" s="2" t="s">
        <v>88</v>
      </c>
      <c r="C9" s="2" t="s">
        <v>75</v>
      </c>
      <c r="D9" s="2" t="s">
        <v>89</v>
      </c>
      <c r="E9" s="2">
        <v>2800</v>
      </c>
      <c r="F9" s="2">
        <v>4500</v>
      </c>
      <c r="G9" s="2">
        <v>5</v>
      </c>
    </row>
    <row r="10" spans="1:7" ht="16.5" x14ac:dyDescent="0.25">
      <c r="A10" s="2">
        <v>109</v>
      </c>
      <c r="B10" s="2" t="s">
        <v>90</v>
      </c>
      <c r="C10" s="2" t="s">
        <v>75</v>
      </c>
      <c r="D10" s="2" t="s">
        <v>91</v>
      </c>
      <c r="E10" s="2">
        <v>1200</v>
      </c>
      <c r="F10" s="2">
        <v>2499</v>
      </c>
      <c r="G10" s="2">
        <v>6</v>
      </c>
    </row>
    <row r="11" spans="1:7" ht="16.5" x14ac:dyDescent="0.25">
      <c r="A11" s="2">
        <v>110</v>
      </c>
      <c r="B11" s="2" t="s">
        <v>92</v>
      </c>
      <c r="C11" s="2" t="s">
        <v>75</v>
      </c>
      <c r="D11" s="2" t="s">
        <v>93</v>
      </c>
      <c r="E11" s="2">
        <v>800</v>
      </c>
      <c r="F11" s="2">
        <v>1599</v>
      </c>
      <c r="G11" s="2">
        <v>7</v>
      </c>
    </row>
    <row r="12" spans="1:7" ht="16.5" x14ac:dyDescent="0.25">
      <c r="A12" s="2">
        <v>111</v>
      </c>
      <c r="B12" s="2" t="s">
        <v>94</v>
      </c>
      <c r="C12" s="2" t="s">
        <v>95</v>
      </c>
      <c r="D12" s="2" t="s">
        <v>81</v>
      </c>
      <c r="E12" s="2">
        <v>300</v>
      </c>
      <c r="F12" s="2">
        <v>699</v>
      </c>
      <c r="G12" s="2">
        <v>8</v>
      </c>
    </row>
    <row r="13" spans="1:7" ht="16.5" x14ac:dyDescent="0.25">
      <c r="A13" s="2">
        <v>112</v>
      </c>
      <c r="B13" s="2" t="s">
        <v>96</v>
      </c>
      <c r="C13" s="2" t="s">
        <v>80</v>
      </c>
      <c r="D13" s="2" t="s">
        <v>97</v>
      </c>
      <c r="E13" s="2">
        <v>1800</v>
      </c>
      <c r="F13" s="2">
        <v>3200</v>
      </c>
      <c r="G13" s="2">
        <v>3</v>
      </c>
    </row>
    <row r="14" spans="1:7" ht="16.5" x14ac:dyDescent="0.25">
      <c r="A14" s="2">
        <v>113</v>
      </c>
      <c r="B14" s="2" t="s">
        <v>98</v>
      </c>
      <c r="C14" s="2" t="s">
        <v>75</v>
      </c>
      <c r="D14" s="2" t="s">
        <v>99</v>
      </c>
      <c r="E14" s="2">
        <v>600</v>
      </c>
      <c r="F14" s="2">
        <v>1299</v>
      </c>
      <c r="G14" s="2">
        <v>2</v>
      </c>
    </row>
    <row r="15" spans="1:7" ht="16.5" x14ac:dyDescent="0.25">
      <c r="A15" s="2">
        <v>114</v>
      </c>
      <c r="B15" s="2" t="s">
        <v>100</v>
      </c>
      <c r="C15" s="2" t="s">
        <v>75</v>
      </c>
      <c r="D15" s="2" t="s">
        <v>97</v>
      </c>
      <c r="E15" s="2">
        <v>1200</v>
      </c>
      <c r="F15" s="2">
        <v>1999</v>
      </c>
      <c r="G15" s="2">
        <v>1</v>
      </c>
    </row>
    <row r="16" spans="1:7" ht="16.5" x14ac:dyDescent="0.25">
      <c r="A16" s="2">
        <v>115</v>
      </c>
      <c r="B16" s="2" t="s">
        <v>101</v>
      </c>
      <c r="C16" s="2" t="s">
        <v>102</v>
      </c>
      <c r="D16" s="2" t="s">
        <v>103</v>
      </c>
      <c r="E16" s="2">
        <v>500</v>
      </c>
      <c r="F16" s="2">
        <v>1299</v>
      </c>
      <c r="G16" s="2">
        <v>9</v>
      </c>
    </row>
    <row r="17" spans="1:7" ht="16.5" x14ac:dyDescent="0.25">
      <c r="A17" s="2">
        <v>116</v>
      </c>
      <c r="B17" s="2" t="s">
        <v>104</v>
      </c>
      <c r="C17" s="2" t="s">
        <v>80</v>
      </c>
      <c r="D17" s="2" t="s">
        <v>105</v>
      </c>
      <c r="E17" s="2">
        <v>3200</v>
      </c>
      <c r="F17" s="2">
        <v>5999</v>
      </c>
      <c r="G17" s="2">
        <v>10</v>
      </c>
    </row>
    <row r="18" spans="1:7" ht="16.5" x14ac:dyDescent="0.25">
      <c r="A18" s="2">
        <v>117</v>
      </c>
      <c r="B18" s="2" t="s">
        <v>106</v>
      </c>
      <c r="C18" s="2" t="s">
        <v>75</v>
      </c>
      <c r="D18" s="2" t="s">
        <v>99</v>
      </c>
      <c r="E18" s="2">
        <v>4500</v>
      </c>
      <c r="F18" s="2">
        <v>7999</v>
      </c>
      <c r="G18" s="2">
        <v>5</v>
      </c>
    </row>
    <row r="19" spans="1:7" ht="16.5" x14ac:dyDescent="0.25">
      <c r="A19" s="2">
        <v>118</v>
      </c>
      <c r="B19" s="2" t="s">
        <v>107</v>
      </c>
      <c r="C19" s="2" t="s">
        <v>80</v>
      </c>
      <c r="D19" s="2" t="s">
        <v>97</v>
      </c>
      <c r="E19" s="2">
        <v>1500</v>
      </c>
      <c r="F19" s="2">
        <v>2800</v>
      </c>
      <c r="G19" s="2">
        <v>3</v>
      </c>
    </row>
    <row r="20" spans="1:7" ht="16.5" x14ac:dyDescent="0.25">
      <c r="A20" s="2">
        <v>119</v>
      </c>
      <c r="B20" s="2" t="s">
        <v>108</v>
      </c>
      <c r="C20" s="2" t="s">
        <v>75</v>
      </c>
      <c r="D20" s="2" t="s">
        <v>91</v>
      </c>
      <c r="E20" s="2">
        <v>900</v>
      </c>
      <c r="F20" s="2">
        <v>1899</v>
      </c>
      <c r="G20" s="2">
        <v>6</v>
      </c>
    </row>
    <row r="21" spans="1:7" ht="16.5" x14ac:dyDescent="0.25">
      <c r="A21" s="2">
        <v>120</v>
      </c>
      <c r="B21" s="2" t="s">
        <v>109</v>
      </c>
      <c r="C21" s="2" t="s">
        <v>75</v>
      </c>
      <c r="D21" s="2" t="s">
        <v>78</v>
      </c>
      <c r="E21" s="2">
        <v>200</v>
      </c>
      <c r="F21" s="2">
        <v>499</v>
      </c>
      <c r="G21" s="2">
        <v>2</v>
      </c>
    </row>
  </sheetData>
  <autoFilter ref="A1:G21" xr:uid="{325F36B9-135B-4B96-90F4-116A522AB0CD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4036-EDBC-4D53-A8FC-B12DBC9B9E49}">
  <sheetPr>
    <tabColor theme="7" tint="0.59999389629810485"/>
  </sheetPr>
  <dimension ref="A1:H21"/>
  <sheetViews>
    <sheetView workbookViewId="0">
      <selection activeCell="J12" sqref="J12"/>
    </sheetView>
  </sheetViews>
  <sheetFormatPr baseColWidth="10" defaultColWidth="11.42578125" defaultRowHeight="15" x14ac:dyDescent="0.25"/>
  <cols>
    <col min="1" max="1" width="9.85546875" bestFit="1" customWidth="1"/>
    <col min="2" max="2" width="13.140625" bestFit="1" customWidth="1"/>
    <col min="3" max="3" width="11" bestFit="1" customWidth="1"/>
    <col min="4" max="4" width="13" bestFit="1" customWidth="1"/>
    <col min="5" max="5" width="10.85546875" bestFit="1" customWidth="1"/>
    <col min="6" max="6" width="15.7109375" bestFit="1" customWidth="1"/>
    <col min="7" max="7" width="8" bestFit="1" customWidth="1"/>
    <col min="8" max="8" width="13.7109375" bestFit="1" customWidth="1"/>
  </cols>
  <sheetData>
    <row r="1" spans="1:8" ht="16.5" x14ac:dyDescent="0.25">
      <c r="A1" s="3" t="s">
        <v>110</v>
      </c>
      <c r="B1" s="3" t="s">
        <v>111</v>
      </c>
      <c r="C1" s="3" t="s">
        <v>0</v>
      </c>
      <c r="D1" s="3" t="s">
        <v>67</v>
      </c>
      <c r="E1" s="3" t="s">
        <v>112</v>
      </c>
      <c r="F1" s="3" t="s">
        <v>113</v>
      </c>
      <c r="G1" s="3" t="s">
        <v>114</v>
      </c>
      <c r="H1" s="3" t="s">
        <v>115</v>
      </c>
    </row>
    <row r="2" spans="1:8" ht="16.5" x14ac:dyDescent="0.25">
      <c r="A2" s="4">
        <v>1001</v>
      </c>
      <c r="B2" s="5">
        <v>45306</v>
      </c>
      <c r="C2" s="4">
        <v>1</v>
      </c>
      <c r="D2" s="4">
        <v>101</v>
      </c>
      <c r="E2" s="4">
        <v>2</v>
      </c>
      <c r="F2" s="4">
        <v>18999</v>
      </c>
      <c r="G2" s="4">
        <v>37998</v>
      </c>
      <c r="H2" s="4">
        <v>1</v>
      </c>
    </row>
    <row r="3" spans="1:8" ht="16.5" x14ac:dyDescent="0.25">
      <c r="A3" s="4">
        <v>1002</v>
      </c>
      <c r="B3" s="5">
        <v>45307</v>
      </c>
      <c r="C3" s="4">
        <v>2</v>
      </c>
      <c r="D3" s="4">
        <v>102</v>
      </c>
      <c r="E3" s="4">
        <v>5</v>
      </c>
      <c r="F3" s="4">
        <v>399</v>
      </c>
      <c r="G3" s="4">
        <v>1995</v>
      </c>
      <c r="H3" s="4">
        <v>2</v>
      </c>
    </row>
    <row r="4" spans="1:8" ht="16.5" x14ac:dyDescent="0.25">
      <c r="A4" s="4">
        <v>1003</v>
      </c>
      <c r="B4" s="5">
        <v>45308</v>
      </c>
      <c r="C4" s="4">
        <v>3</v>
      </c>
      <c r="D4" s="4">
        <v>103</v>
      </c>
      <c r="E4" s="4">
        <v>10</v>
      </c>
      <c r="F4" s="4">
        <v>4500</v>
      </c>
      <c r="G4" s="4">
        <v>45000</v>
      </c>
      <c r="H4" s="4">
        <v>1</v>
      </c>
    </row>
    <row r="5" spans="1:8" ht="16.5" x14ac:dyDescent="0.25">
      <c r="A5" s="4">
        <v>1004</v>
      </c>
      <c r="B5" s="5">
        <v>45309</v>
      </c>
      <c r="C5" s="4">
        <v>4</v>
      </c>
      <c r="D5" s="4">
        <v>104</v>
      </c>
      <c r="E5" s="4">
        <v>3</v>
      </c>
      <c r="F5" s="4">
        <v>5999</v>
      </c>
      <c r="G5" s="4">
        <v>17997</v>
      </c>
      <c r="H5" s="4">
        <v>3</v>
      </c>
    </row>
    <row r="6" spans="1:8" ht="16.5" x14ac:dyDescent="0.25">
      <c r="A6" s="4">
        <v>1005</v>
      </c>
      <c r="B6" s="5">
        <v>45310</v>
      </c>
      <c r="C6" s="4">
        <v>5</v>
      </c>
      <c r="D6" s="4">
        <v>105</v>
      </c>
      <c r="E6" s="4">
        <v>8</v>
      </c>
      <c r="F6" s="4">
        <v>899</v>
      </c>
      <c r="G6" s="4">
        <v>7192</v>
      </c>
      <c r="H6" s="4">
        <v>4</v>
      </c>
    </row>
    <row r="7" spans="1:8" ht="16.5" x14ac:dyDescent="0.25">
      <c r="A7" s="4">
        <v>1006</v>
      </c>
      <c r="B7" s="5">
        <v>45311</v>
      </c>
      <c r="C7" s="4">
        <v>6</v>
      </c>
      <c r="D7" s="4">
        <v>106</v>
      </c>
      <c r="E7" s="4">
        <v>2</v>
      </c>
      <c r="F7" s="4">
        <v>7500</v>
      </c>
      <c r="G7" s="4">
        <v>15000</v>
      </c>
      <c r="H7" s="4">
        <v>1</v>
      </c>
    </row>
    <row r="8" spans="1:8" ht="16.5" x14ac:dyDescent="0.25">
      <c r="A8" s="4">
        <v>1007</v>
      </c>
      <c r="B8" s="5">
        <v>45312</v>
      </c>
      <c r="C8" s="4">
        <v>7</v>
      </c>
      <c r="D8" s="4">
        <v>107</v>
      </c>
      <c r="E8" s="4">
        <v>1</v>
      </c>
      <c r="F8" s="4">
        <v>12999</v>
      </c>
      <c r="G8" s="4">
        <v>12999</v>
      </c>
      <c r="H8" s="4">
        <v>2</v>
      </c>
    </row>
    <row r="9" spans="1:8" ht="16.5" x14ac:dyDescent="0.25">
      <c r="A9" s="4">
        <v>1008</v>
      </c>
      <c r="B9" s="5">
        <v>45313</v>
      </c>
      <c r="C9" s="4">
        <v>8</v>
      </c>
      <c r="D9" s="4">
        <v>108</v>
      </c>
      <c r="E9" s="4">
        <v>4</v>
      </c>
      <c r="F9" s="4">
        <v>4500</v>
      </c>
      <c r="G9" s="4">
        <v>18000</v>
      </c>
      <c r="H9" s="4">
        <v>3</v>
      </c>
    </row>
    <row r="10" spans="1:8" ht="16.5" x14ac:dyDescent="0.25">
      <c r="A10" s="4">
        <v>1009</v>
      </c>
      <c r="B10" s="5">
        <v>45314</v>
      </c>
      <c r="C10" s="4">
        <v>9</v>
      </c>
      <c r="D10" s="4">
        <v>109</v>
      </c>
      <c r="E10" s="4">
        <v>6</v>
      </c>
      <c r="F10" s="4">
        <v>2499</v>
      </c>
      <c r="G10" s="4">
        <v>14994</v>
      </c>
      <c r="H10" s="4">
        <v>4</v>
      </c>
    </row>
    <row r="11" spans="1:8" ht="16.5" x14ac:dyDescent="0.25">
      <c r="A11" s="4">
        <v>1010</v>
      </c>
      <c r="B11" s="5">
        <v>45315</v>
      </c>
      <c r="C11" s="4">
        <v>10</v>
      </c>
      <c r="D11" s="4">
        <v>110</v>
      </c>
      <c r="E11" s="4">
        <v>5</v>
      </c>
      <c r="F11" s="4">
        <v>1599</v>
      </c>
      <c r="G11" s="4">
        <v>7995</v>
      </c>
      <c r="H11" s="4">
        <v>1</v>
      </c>
    </row>
    <row r="12" spans="1:8" ht="16.5" x14ac:dyDescent="0.25">
      <c r="A12" s="4">
        <v>1011</v>
      </c>
      <c r="B12" s="5">
        <v>45316</v>
      </c>
      <c r="C12" s="4">
        <v>11</v>
      </c>
      <c r="D12" s="4">
        <v>111</v>
      </c>
      <c r="E12" s="4">
        <v>12</v>
      </c>
      <c r="F12" s="4">
        <v>699</v>
      </c>
      <c r="G12" s="4">
        <v>8388</v>
      </c>
      <c r="H12" s="4">
        <v>2</v>
      </c>
    </row>
    <row r="13" spans="1:8" ht="16.5" x14ac:dyDescent="0.25">
      <c r="A13" s="4">
        <v>1012</v>
      </c>
      <c r="B13" s="5">
        <v>45317</v>
      </c>
      <c r="C13" s="4">
        <v>12</v>
      </c>
      <c r="D13" s="4">
        <v>112</v>
      </c>
      <c r="E13" s="4">
        <v>3</v>
      </c>
      <c r="F13" s="4">
        <v>3200</v>
      </c>
      <c r="G13" s="4">
        <v>9600</v>
      </c>
      <c r="H13" s="4">
        <v>3</v>
      </c>
    </row>
    <row r="14" spans="1:8" ht="16.5" x14ac:dyDescent="0.25">
      <c r="A14" s="4">
        <v>1013</v>
      </c>
      <c r="B14" s="5">
        <v>45318</v>
      </c>
      <c r="C14" s="4">
        <v>13</v>
      </c>
      <c r="D14" s="4">
        <v>113</v>
      </c>
      <c r="E14" s="4">
        <v>7</v>
      </c>
      <c r="F14" s="4">
        <v>1299</v>
      </c>
      <c r="G14" s="4">
        <v>9093</v>
      </c>
      <c r="H14" s="4">
        <v>4</v>
      </c>
    </row>
    <row r="15" spans="1:8" ht="16.5" x14ac:dyDescent="0.25">
      <c r="A15" s="4">
        <v>1014</v>
      </c>
      <c r="B15" s="5">
        <v>45319</v>
      </c>
      <c r="C15" s="4">
        <v>14</v>
      </c>
      <c r="D15" s="4">
        <v>114</v>
      </c>
      <c r="E15" s="4">
        <v>4</v>
      </c>
      <c r="F15" s="4">
        <v>1999</v>
      </c>
      <c r="G15" s="4">
        <v>7996</v>
      </c>
      <c r="H15" s="4">
        <v>1</v>
      </c>
    </row>
    <row r="16" spans="1:8" ht="16.5" x14ac:dyDescent="0.25">
      <c r="A16" s="4">
        <v>1015</v>
      </c>
      <c r="B16" s="5">
        <v>45320</v>
      </c>
      <c r="C16" s="4">
        <v>15</v>
      </c>
      <c r="D16" s="4">
        <v>115</v>
      </c>
      <c r="E16" s="4">
        <v>15</v>
      </c>
      <c r="F16" s="4">
        <v>1299</v>
      </c>
      <c r="G16" s="4">
        <v>19485</v>
      </c>
      <c r="H16" s="4">
        <v>2</v>
      </c>
    </row>
    <row r="17" spans="1:8" ht="16.5" x14ac:dyDescent="0.25">
      <c r="A17" s="4">
        <v>1016</v>
      </c>
      <c r="B17" s="5">
        <v>45321</v>
      </c>
      <c r="C17" s="4">
        <v>16</v>
      </c>
      <c r="D17" s="4">
        <v>116</v>
      </c>
      <c r="E17" s="4">
        <v>2</v>
      </c>
      <c r="F17" s="4">
        <v>5999</v>
      </c>
      <c r="G17" s="4">
        <v>11998</v>
      </c>
      <c r="H17" s="4">
        <v>3</v>
      </c>
    </row>
    <row r="18" spans="1:8" ht="16.5" x14ac:dyDescent="0.25">
      <c r="A18" s="4">
        <v>1017</v>
      </c>
      <c r="B18" s="5">
        <v>45322</v>
      </c>
      <c r="C18" s="4">
        <v>17</v>
      </c>
      <c r="D18" s="4">
        <v>117</v>
      </c>
      <c r="E18" s="4">
        <v>1</v>
      </c>
      <c r="F18" s="4">
        <v>7999</v>
      </c>
      <c r="G18" s="4">
        <v>7999</v>
      </c>
      <c r="H18" s="4">
        <v>4</v>
      </c>
    </row>
    <row r="19" spans="1:8" ht="16.5" x14ac:dyDescent="0.25">
      <c r="A19" s="4">
        <v>1018</v>
      </c>
      <c r="B19" s="5">
        <v>45323</v>
      </c>
      <c r="C19" s="4">
        <v>18</v>
      </c>
      <c r="D19" s="4">
        <v>118</v>
      </c>
      <c r="E19" s="4">
        <v>5</v>
      </c>
      <c r="F19" s="4">
        <v>2800</v>
      </c>
      <c r="G19" s="4">
        <v>14000</v>
      </c>
      <c r="H19" s="4">
        <v>1</v>
      </c>
    </row>
    <row r="20" spans="1:8" ht="16.5" x14ac:dyDescent="0.25">
      <c r="A20" s="4">
        <v>1019</v>
      </c>
      <c r="B20" s="5">
        <v>45324</v>
      </c>
      <c r="C20" s="4">
        <v>19</v>
      </c>
      <c r="D20" s="4">
        <v>119</v>
      </c>
      <c r="E20" s="4">
        <v>3</v>
      </c>
      <c r="F20" s="4">
        <v>1899</v>
      </c>
      <c r="G20" s="4">
        <v>5697</v>
      </c>
      <c r="H20" s="4">
        <v>2</v>
      </c>
    </row>
    <row r="21" spans="1:8" ht="16.5" x14ac:dyDescent="0.25">
      <c r="A21" s="4">
        <v>1020</v>
      </c>
      <c r="B21" s="5">
        <v>45325</v>
      </c>
      <c r="C21" s="4">
        <v>20</v>
      </c>
      <c r="D21" s="4">
        <v>120</v>
      </c>
      <c r="E21" s="4">
        <v>10</v>
      </c>
      <c r="F21" s="4">
        <v>499</v>
      </c>
      <c r="G21" s="4">
        <v>4990</v>
      </c>
      <c r="H21" s="4">
        <v>3</v>
      </c>
    </row>
  </sheetData>
  <autoFilter ref="A1:H1" xr:uid="{C3CC4036-EDBC-4D53-A8FC-B12DBC9B9E49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C8AAA-B10C-4793-8B8D-EB5A9B260D0E}">
  <sheetPr>
    <tabColor theme="7" tint="0.59999389629810485"/>
  </sheetPr>
  <dimension ref="A1:F21"/>
  <sheetViews>
    <sheetView workbookViewId="0">
      <selection activeCell="I11" sqref="I11"/>
    </sheetView>
  </sheetViews>
  <sheetFormatPr baseColWidth="10" defaultRowHeight="15" x14ac:dyDescent="0.25"/>
  <cols>
    <col min="1" max="1" width="13.7109375" bestFit="1" customWidth="1"/>
    <col min="2" max="2" width="25.42578125" bestFit="1" customWidth="1"/>
    <col min="3" max="3" width="9" bestFit="1" customWidth="1"/>
    <col min="4" max="4" width="11.140625" bestFit="1" customWidth="1"/>
    <col min="5" max="5" width="23.7109375" bestFit="1" customWidth="1"/>
    <col min="6" max="6" width="20" bestFit="1" customWidth="1"/>
  </cols>
  <sheetData>
    <row r="1" spans="1:6" ht="16.5" x14ac:dyDescent="0.25">
      <c r="A1" s="3" t="s">
        <v>115</v>
      </c>
      <c r="B1" s="3" t="s">
        <v>1</v>
      </c>
      <c r="C1" s="3" t="s">
        <v>116</v>
      </c>
      <c r="D1" s="3" t="s">
        <v>117</v>
      </c>
      <c r="E1" s="3" t="s">
        <v>118</v>
      </c>
      <c r="F1" s="3" t="s">
        <v>119</v>
      </c>
    </row>
    <row r="2" spans="1:6" ht="16.5" x14ac:dyDescent="0.25">
      <c r="A2" s="4">
        <v>1</v>
      </c>
      <c r="B2" s="3" t="s">
        <v>120</v>
      </c>
      <c r="C2" s="4" t="s">
        <v>121</v>
      </c>
      <c r="D2" s="19">
        <v>0.1</v>
      </c>
      <c r="E2" s="4" t="s">
        <v>122</v>
      </c>
      <c r="F2" s="5">
        <v>44635</v>
      </c>
    </row>
    <row r="3" spans="1:6" ht="16.5" x14ac:dyDescent="0.25">
      <c r="A3" s="4">
        <v>2</v>
      </c>
      <c r="B3" s="4" t="s">
        <v>123</v>
      </c>
      <c r="C3" s="4" t="s">
        <v>124</v>
      </c>
      <c r="D3" s="19">
        <v>0.08</v>
      </c>
      <c r="E3" s="4" t="s">
        <v>122</v>
      </c>
      <c r="F3" s="5">
        <v>44701</v>
      </c>
    </row>
    <row r="4" spans="1:6" ht="16.5" x14ac:dyDescent="0.25">
      <c r="A4" s="4">
        <v>3</v>
      </c>
      <c r="B4" s="4" t="s">
        <v>125</v>
      </c>
      <c r="C4" s="4" t="s">
        <v>126</v>
      </c>
      <c r="D4" s="19">
        <v>0.12</v>
      </c>
      <c r="E4" s="4" t="s">
        <v>122</v>
      </c>
      <c r="F4" s="5">
        <v>44752</v>
      </c>
    </row>
    <row r="5" spans="1:6" ht="16.5" x14ac:dyDescent="0.25">
      <c r="A5" s="4">
        <v>4</v>
      </c>
      <c r="B5" s="4" t="s">
        <v>127</v>
      </c>
      <c r="C5" s="4" t="s">
        <v>121</v>
      </c>
      <c r="D5" s="19">
        <v>0.09</v>
      </c>
      <c r="E5" s="4" t="s">
        <v>122</v>
      </c>
      <c r="F5" s="5">
        <v>44809</v>
      </c>
    </row>
    <row r="6" spans="1:6" ht="16.5" x14ac:dyDescent="0.25">
      <c r="A6" s="4">
        <v>5</v>
      </c>
      <c r="B6" s="4" t="s">
        <v>128</v>
      </c>
      <c r="C6" s="4" t="s">
        <v>124</v>
      </c>
      <c r="D6" s="19">
        <v>0.11</v>
      </c>
      <c r="E6" s="4" t="s">
        <v>129</v>
      </c>
      <c r="F6" s="5">
        <v>44877</v>
      </c>
    </row>
    <row r="7" spans="1:6" ht="16.5" x14ac:dyDescent="0.25">
      <c r="A7" s="4">
        <v>6</v>
      </c>
      <c r="B7" s="4" t="s">
        <v>130</v>
      </c>
      <c r="C7" s="4" t="s">
        <v>126</v>
      </c>
      <c r="D7" s="19">
        <v>7.0000000000000007E-2</v>
      </c>
      <c r="E7" s="4" t="s">
        <v>122</v>
      </c>
      <c r="F7" s="5">
        <v>44944</v>
      </c>
    </row>
    <row r="8" spans="1:6" ht="16.5" x14ac:dyDescent="0.25">
      <c r="A8" s="4">
        <v>7</v>
      </c>
      <c r="B8" s="4" t="s">
        <v>131</v>
      </c>
      <c r="C8" s="4" t="s">
        <v>121</v>
      </c>
      <c r="D8" s="19">
        <v>0.1</v>
      </c>
      <c r="E8" s="4" t="s">
        <v>132</v>
      </c>
      <c r="F8" s="5">
        <v>45007</v>
      </c>
    </row>
    <row r="9" spans="1:6" ht="16.5" x14ac:dyDescent="0.25">
      <c r="A9" s="4">
        <v>8</v>
      </c>
      <c r="B9" s="4" t="s">
        <v>133</v>
      </c>
      <c r="C9" s="4" t="s">
        <v>124</v>
      </c>
      <c r="D9" s="19">
        <v>0.13</v>
      </c>
      <c r="E9" s="4" t="s">
        <v>122</v>
      </c>
      <c r="F9" s="5">
        <v>45076</v>
      </c>
    </row>
    <row r="10" spans="1:6" ht="16.5" x14ac:dyDescent="0.25">
      <c r="A10" s="4">
        <v>9</v>
      </c>
      <c r="B10" s="4" t="s">
        <v>134</v>
      </c>
      <c r="C10" s="4" t="s">
        <v>126</v>
      </c>
      <c r="D10" s="19">
        <v>0.08</v>
      </c>
      <c r="E10" s="4" t="s">
        <v>129</v>
      </c>
      <c r="F10" s="5">
        <v>45121</v>
      </c>
    </row>
    <row r="11" spans="1:6" ht="16.5" x14ac:dyDescent="0.25">
      <c r="A11" s="4">
        <v>10</v>
      </c>
      <c r="B11" s="4" t="s">
        <v>135</v>
      </c>
      <c r="C11" s="4" t="s">
        <v>121</v>
      </c>
      <c r="D11" s="19">
        <v>0.1</v>
      </c>
      <c r="E11" s="4" t="s">
        <v>122</v>
      </c>
      <c r="F11" s="5">
        <v>45174</v>
      </c>
    </row>
    <row r="12" spans="1:6" ht="16.5" x14ac:dyDescent="0.25">
      <c r="A12" s="4">
        <v>11</v>
      </c>
      <c r="B12" s="4" t="s">
        <v>136</v>
      </c>
      <c r="C12" s="4" t="s">
        <v>124</v>
      </c>
      <c r="D12" s="19">
        <v>0.09</v>
      </c>
      <c r="E12" s="4" t="s">
        <v>122</v>
      </c>
      <c r="F12" s="5">
        <v>45219</v>
      </c>
    </row>
    <row r="13" spans="1:6" ht="16.5" x14ac:dyDescent="0.25">
      <c r="A13" s="4">
        <v>12</v>
      </c>
      <c r="B13" s="4" t="s">
        <v>137</v>
      </c>
      <c r="C13" s="4" t="s">
        <v>126</v>
      </c>
      <c r="D13" s="19">
        <v>0.12</v>
      </c>
      <c r="E13" s="4" t="s">
        <v>122</v>
      </c>
      <c r="F13" s="5">
        <v>45263</v>
      </c>
    </row>
    <row r="14" spans="1:6" ht="16.5" x14ac:dyDescent="0.25">
      <c r="A14" s="4">
        <v>13</v>
      </c>
      <c r="B14" s="4" t="s">
        <v>138</v>
      </c>
      <c r="C14" s="4" t="s">
        <v>121</v>
      </c>
      <c r="D14" s="19">
        <v>0.11</v>
      </c>
      <c r="E14" s="4" t="s">
        <v>129</v>
      </c>
      <c r="F14" s="5">
        <v>45306</v>
      </c>
    </row>
    <row r="15" spans="1:6" ht="16.5" x14ac:dyDescent="0.25">
      <c r="A15" s="4">
        <v>14</v>
      </c>
      <c r="B15" s="4" t="s">
        <v>139</v>
      </c>
      <c r="C15" s="4" t="s">
        <v>124</v>
      </c>
      <c r="D15" s="19">
        <v>0.08</v>
      </c>
      <c r="E15" s="4" t="s">
        <v>122</v>
      </c>
      <c r="F15" s="5">
        <v>45332</v>
      </c>
    </row>
    <row r="16" spans="1:6" ht="16.5" x14ac:dyDescent="0.25">
      <c r="A16" s="4">
        <v>15</v>
      </c>
      <c r="B16" s="4" t="s">
        <v>140</v>
      </c>
      <c r="C16" s="4" t="s">
        <v>126</v>
      </c>
      <c r="D16" s="19">
        <v>0.1</v>
      </c>
      <c r="E16" s="4" t="s">
        <v>122</v>
      </c>
      <c r="F16" s="5">
        <v>45356</v>
      </c>
    </row>
    <row r="17" spans="1:6" ht="16.5" x14ac:dyDescent="0.25">
      <c r="A17" s="4">
        <v>16</v>
      </c>
      <c r="B17" s="4" t="s">
        <v>141</v>
      </c>
      <c r="C17" s="4" t="s">
        <v>121</v>
      </c>
      <c r="D17" s="19">
        <v>0.09</v>
      </c>
      <c r="E17" s="4" t="s">
        <v>122</v>
      </c>
      <c r="F17" s="5">
        <v>45376</v>
      </c>
    </row>
    <row r="18" spans="1:6" ht="16.5" x14ac:dyDescent="0.25">
      <c r="A18" s="4">
        <v>17</v>
      </c>
      <c r="B18" s="4" t="s">
        <v>142</v>
      </c>
      <c r="C18" s="4" t="s">
        <v>124</v>
      </c>
      <c r="D18" s="19">
        <v>0.12</v>
      </c>
      <c r="E18" s="4" t="s">
        <v>132</v>
      </c>
      <c r="F18" s="5">
        <v>45392</v>
      </c>
    </row>
    <row r="19" spans="1:6" ht="16.5" x14ac:dyDescent="0.25">
      <c r="A19" s="4">
        <v>18</v>
      </c>
      <c r="B19" s="4" t="s">
        <v>143</v>
      </c>
      <c r="C19" s="4" t="s">
        <v>126</v>
      </c>
      <c r="D19" s="19">
        <v>7.0000000000000007E-2</v>
      </c>
      <c r="E19" s="4" t="s">
        <v>122</v>
      </c>
      <c r="F19" s="5">
        <v>45404</v>
      </c>
    </row>
    <row r="20" spans="1:6" ht="16.5" x14ac:dyDescent="0.25">
      <c r="A20" s="4">
        <v>19</v>
      </c>
      <c r="B20" s="4" t="s">
        <v>144</v>
      </c>
      <c r="C20" s="4" t="s">
        <v>121</v>
      </c>
      <c r="D20" s="19">
        <v>0.1</v>
      </c>
      <c r="E20" s="4" t="s">
        <v>129</v>
      </c>
      <c r="F20" s="5">
        <v>45417</v>
      </c>
    </row>
    <row r="21" spans="1:6" ht="16.5" x14ac:dyDescent="0.25">
      <c r="A21" s="4">
        <v>20</v>
      </c>
      <c r="B21" s="4" t="s">
        <v>145</v>
      </c>
      <c r="C21" s="4" t="s">
        <v>124</v>
      </c>
      <c r="D21" s="19">
        <v>0.08</v>
      </c>
      <c r="E21" s="4" t="s">
        <v>122</v>
      </c>
      <c r="F21" s="5">
        <v>45430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4DC0-C491-461D-9356-8322D24588AA}">
  <sheetPr>
    <tabColor theme="7" tint="0.59999389629810485"/>
  </sheetPr>
  <dimension ref="A1:F21"/>
  <sheetViews>
    <sheetView workbookViewId="0">
      <selection activeCell="F21" sqref="F21"/>
    </sheetView>
  </sheetViews>
  <sheetFormatPr baseColWidth="10" defaultRowHeight="15" x14ac:dyDescent="0.25"/>
  <cols>
    <col min="1" max="1" width="14.140625" bestFit="1" customWidth="1"/>
    <col min="2" max="2" width="27.42578125" customWidth="1"/>
    <col min="3" max="3" width="17.140625" bestFit="1" customWidth="1"/>
    <col min="4" max="4" width="15.42578125" bestFit="1" customWidth="1"/>
    <col min="5" max="5" width="15" bestFit="1" customWidth="1"/>
    <col min="6" max="6" width="19.85546875" bestFit="1" customWidth="1"/>
  </cols>
  <sheetData>
    <row r="1" spans="1:6" ht="16.5" x14ac:dyDescent="0.25">
      <c r="A1" s="3" t="s">
        <v>73</v>
      </c>
      <c r="B1" s="3" t="s">
        <v>146</v>
      </c>
      <c r="C1" s="3" t="s">
        <v>147</v>
      </c>
      <c r="D1" s="3" t="s">
        <v>148</v>
      </c>
      <c r="E1" s="3" t="s">
        <v>149</v>
      </c>
      <c r="F1" s="3" t="s">
        <v>150</v>
      </c>
    </row>
    <row r="2" spans="1:6" ht="16.5" x14ac:dyDescent="0.25">
      <c r="A2" s="4">
        <v>1</v>
      </c>
      <c r="B2" s="4" t="s">
        <v>151</v>
      </c>
      <c r="C2" s="4" t="s">
        <v>152</v>
      </c>
      <c r="D2" s="4" t="s">
        <v>153</v>
      </c>
      <c r="E2" s="4" t="s">
        <v>154</v>
      </c>
      <c r="F2" s="4" t="s">
        <v>75</v>
      </c>
    </row>
    <row r="3" spans="1:6" ht="16.5" x14ac:dyDescent="0.25">
      <c r="A3" s="4">
        <v>2</v>
      </c>
      <c r="B3" s="4" t="s">
        <v>155</v>
      </c>
      <c r="C3" s="4" t="s">
        <v>156</v>
      </c>
      <c r="D3" s="4" t="s">
        <v>157</v>
      </c>
      <c r="E3" s="4" t="s">
        <v>10</v>
      </c>
      <c r="F3" s="4" t="s">
        <v>78</v>
      </c>
    </row>
    <row r="4" spans="1:6" ht="16.5" x14ac:dyDescent="0.25">
      <c r="A4" s="4">
        <v>3</v>
      </c>
      <c r="B4" s="4" t="s">
        <v>158</v>
      </c>
      <c r="C4" s="4" t="s">
        <v>159</v>
      </c>
      <c r="D4" s="4" t="s">
        <v>160</v>
      </c>
      <c r="E4" s="4" t="s">
        <v>10</v>
      </c>
      <c r="F4" s="4" t="s">
        <v>80</v>
      </c>
    </row>
    <row r="5" spans="1:6" ht="16.5" x14ac:dyDescent="0.25">
      <c r="A5" s="4">
        <v>4</v>
      </c>
      <c r="B5" s="4" t="s">
        <v>161</v>
      </c>
      <c r="C5" s="4" t="s">
        <v>162</v>
      </c>
      <c r="D5" s="4" t="s">
        <v>163</v>
      </c>
      <c r="E5" s="4" t="s">
        <v>164</v>
      </c>
      <c r="F5" s="4" t="s">
        <v>75</v>
      </c>
    </row>
    <row r="6" spans="1:6" ht="16.5" x14ac:dyDescent="0.25">
      <c r="A6" s="4">
        <v>5</v>
      </c>
      <c r="B6" s="4" t="s">
        <v>165</v>
      </c>
      <c r="C6" s="4" t="s">
        <v>166</v>
      </c>
      <c r="D6" s="4" t="s">
        <v>167</v>
      </c>
      <c r="E6" s="4" t="s">
        <v>168</v>
      </c>
      <c r="F6" s="4" t="s">
        <v>75</v>
      </c>
    </row>
    <row r="7" spans="1:6" ht="16.5" x14ac:dyDescent="0.25">
      <c r="A7" s="4">
        <v>6</v>
      </c>
      <c r="B7" s="4" t="s">
        <v>169</v>
      </c>
      <c r="C7" s="4" t="s">
        <v>170</v>
      </c>
      <c r="D7" s="4" t="s">
        <v>171</v>
      </c>
      <c r="E7" s="4" t="s">
        <v>168</v>
      </c>
      <c r="F7" s="4" t="s">
        <v>91</v>
      </c>
    </row>
    <row r="8" spans="1:6" ht="16.5" x14ac:dyDescent="0.25">
      <c r="A8" s="4">
        <v>7</v>
      </c>
      <c r="B8" s="4" t="s">
        <v>172</v>
      </c>
      <c r="C8" s="4" t="s">
        <v>173</v>
      </c>
      <c r="D8" s="4" t="s">
        <v>174</v>
      </c>
      <c r="E8" s="4" t="s">
        <v>10</v>
      </c>
      <c r="F8" s="4" t="s">
        <v>93</v>
      </c>
    </row>
    <row r="9" spans="1:6" ht="16.5" x14ac:dyDescent="0.25">
      <c r="A9" s="4">
        <v>8</v>
      </c>
      <c r="B9" s="4" t="s">
        <v>175</v>
      </c>
      <c r="C9" s="4" t="s">
        <v>176</v>
      </c>
      <c r="D9" s="4" t="s">
        <v>177</v>
      </c>
      <c r="E9" s="4" t="s">
        <v>10</v>
      </c>
      <c r="F9" s="4" t="s">
        <v>95</v>
      </c>
    </row>
    <row r="10" spans="1:6" ht="16.5" x14ac:dyDescent="0.25">
      <c r="A10" s="4">
        <v>9</v>
      </c>
      <c r="B10" s="4" t="s">
        <v>178</v>
      </c>
      <c r="C10" s="4" t="s">
        <v>179</v>
      </c>
      <c r="D10" s="4" t="s">
        <v>180</v>
      </c>
      <c r="E10" s="4" t="s">
        <v>168</v>
      </c>
      <c r="F10" s="4" t="s">
        <v>102</v>
      </c>
    </row>
    <row r="11" spans="1:6" ht="16.5" x14ac:dyDescent="0.25">
      <c r="A11" s="4">
        <v>10</v>
      </c>
      <c r="B11" s="4" t="s">
        <v>181</v>
      </c>
      <c r="C11" s="4" t="s">
        <v>182</v>
      </c>
      <c r="D11" s="4" t="s">
        <v>183</v>
      </c>
      <c r="E11" s="4" t="s">
        <v>10</v>
      </c>
      <c r="F11" s="4" t="s">
        <v>105</v>
      </c>
    </row>
    <row r="12" spans="1:6" ht="16.5" x14ac:dyDescent="0.25">
      <c r="A12" s="4">
        <v>11</v>
      </c>
      <c r="B12" s="4" t="s">
        <v>184</v>
      </c>
      <c r="C12" s="4" t="s">
        <v>185</v>
      </c>
      <c r="D12" s="4" t="s">
        <v>186</v>
      </c>
      <c r="E12" s="4" t="s">
        <v>168</v>
      </c>
      <c r="F12" s="4" t="s">
        <v>75</v>
      </c>
    </row>
    <row r="13" spans="1:6" ht="16.5" x14ac:dyDescent="0.25">
      <c r="A13" s="4">
        <v>12</v>
      </c>
      <c r="B13" s="4" t="s">
        <v>187</v>
      </c>
      <c r="C13" s="4" t="s">
        <v>188</v>
      </c>
      <c r="D13" s="4" t="s">
        <v>189</v>
      </c>
      <c r="E13" s="4" t="s">
        <v>190</v>
      </c>
      <c r="F13" s="4" t="s">
        <v>78</v>
      </c>
    </row>
    <row r="14" spans="1:6" ht="16.5" x14ac:dyDescent="0.25">
      <c r="A14" s="4">
        <v>13</v>
      </c>
      <c r="B14" s="4" t="s">
        <v>191</v>
      </c>
      <c r="C14" s="4" t="s">
        <v>192</v>
      </c>
      <c r="D14" s="4" t="s">
        <v>193</v>
      </c>
      <c r="E14" s="4" t="s">
        <v>168</v>
      </c>
      <c r="F14" s="4" t="s">
        <v>75</v>
      </c>
    </row>
    <row r="15" spans="1:6" ht="16.5" x14ac:dyDescent="0.25">
      <c r="A15" s="4">
        <v>14</v>
      </c>
      <c r="B15" s="4" t="s">
        <v>194</v>
      </c>
      <c r="C15" s="4" t="s">
        <v>195</v>
      </c>
      <c r="D15" s="4" t="s">
        <v>196</v>
      </c>
      <c r="E15" s="4" t="s">
        <v>154</v>
      </c>
      <c r="F15" s="4" t="s">
        <v>75</v>
      </c>
    </row>
    <row r="16" spans="1:6" ht="16.5" x14ac:dyDescent="0.25">
      <c r="A16" s="4">
        <v>15</v>
      </c>
      <c r="B16" s="4" t="s">
        <v>197</v>
      </c>
      <c r="C16" s="4" t="s">
        <v>198</v>
      </c>
      <c r="D16" s="4" t="s">
        <v>199</v>
      </c>
      <c r="E16" s="4" t="s">
        <v>200</v>
      </c>
      <c r="F16" s="4" t="s">
        <v>89</v>
      </c>
    </row>
    <row r="17" spans="1:6" ht="16.5" x14ac:dyDescent="0.25">
      <c r="A17" s="4">
        <v>16</v>
      </c>
      <c r="B17" s="4" t="s">
        <v>201</v>
      </c>
      <c r="C17" s="4" t="s">
        <v>202</v>
      </c>
      <c r="D17" s="4" t="s">
        <v>203</v>
      </c>
      <c r="E17" s="4" t="s">
        <v>204</v>
      </c>
      <c r="F17" s="4" t="s">
        <v>105</v>
      </c>
    </row>
    <row r="18" spans="1:6" ht="16.5" x14ac:dyDescent="0.25">
      <c r="A18" s="4">
        <v>17</v>
      </c>
      <c r="B18" s="4" t="s">
        <v>205</v>
      </c>
      <c r="C18" s="4" t="s">
        <v>206</v>
      </c>
      <c r="D18" s="4" t="s">
        <v>207</v>
      </c>
      <c r="E18" s="4" t="s">
        <v>208</v>
      </c>
      <c r="F18" s="4" t="s">
        <v>75</v>
      </c>
    </row>
    <row r="19" spans="1:6" ht="16.5" x14ac:dyDescent="0.25">
      <c r="A19" s="4">
        <v>18</v>
      </c>
      <c r="B19" s="4" t="s">
        <v>209</v>
      </c>
      <c r="C19" s="4" t="s">
        <v>210</v>
      </c>
      <c r="D19" s="4" t="s">
        <v>211</v>
      </c>
      <c r="E19" s="4" t="s">
        <v>208</v>
      </c>
      <c r="F19" s="4" t="s">
        <v>75</v>
      </c>
    </row>
    <row r="20" spans="1:6" ht="16.5" x14ac:dyDescent="0.25">
      <c r="A20" s="4">
        <v>19</v>
      </c>
      <c r="B20" s="4" t="s">
        <v>212</v>
      </c>
      <c r="C20" s="4" t="s">
        <v>213</v>
      </c>
      <c r="D20" s="4" t="s">
        <v>214</v>
      </c>
      <c r="E20" s="4" t="s">
        <v>200</v>
      </c>
      <c r="F20" s="4" t="s">
        <v>75</v>
      </c>
    </row>
    <row r="21" spans="1:6" ht="16.5" x14ac:dyDescent="0.25">
      <c r="A21" s="4">
        <v>20</v>
      </c>
      <c r="B21" s="4" t="s">
        <v>215</v>
      </c>
      <c r="C21" s="4" t="s">
        <v>216</v>
      </c>
      <c r="D21" s="4" t="s">
        <v>217</v>
      </c>
      <c r="E21" s="4" t="s">
        <v>218</v>
      </c>
      <c r="F21" s="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Ejercicio Macros</vt:lpstr>
      <vt:lpstr>Ventas</vt:lpstr>
      <vt:lpstr>TABLA_DINAMICA</vt:lpstr>
      <vt:lpstr>SL</vt:lpstr>
      <vt:lpstr>Ejercicio dash</vt:lpstr>
      <vt:lpstr>Clientes</vt:lpstr>
      <vt:lpstr>Productos</vt:lpstr>
      <vt:lpstr>Venta</vt:lpstr>
      <vt:lpstr>Vendedor</vt:lpstr>
      <vt:lpstr>Proveedores</vt:lpstr>
      <vt:lpstr>Ventas!Área_de_extracción</vt:lpstr>
      <vt:lpstr>Ventas!Criterios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CAMILO ESTEBAN MORENO ANDRADE</dc:creator>
  <cp:lastModifiedBy>Ricardo Corzo</cp:lastModifiedBy>
  <dcterms:created xsi:type="dcterms:W3CDTF">2026-01-17T04:28:15Z</dcterms:created>
  <dcterms:modified xsi:type="dcterms:W3CDTF">2026-09-08T03:00:50Z</dcterms:modified>
</cp:coreProperties>
</file>